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21f2f39f90d6080/Desktop/"/>
    </mc:Choice>
  </mc:AlternateContent>
  <xr:revisionPtr revIDLastSave="4" documentId="8_{8E6E6879-C502-474F-956A-6A47C11E6C05}" xr6:coauthVersionLast="47" xr6:coauthVersionMax="47" xr10:uidLastSave="{7B72BE79-B7C0-4F6D-902A-703103C161F8}"/>
  <bookViews>
    <workbookView xWindow="-110" yWindow="-110" windowWidth="19420" windowHeight="10300" activeTab="1" xr2:uid="{00000000-000D-0000-FFFF-FFFF00000000}"/>
  </bookViews>
  <sheets>
    <sheet name="Retail_Dataset" sheetId="1" r:id="rId1"/>
    <sheet name="Q7_PivotTable" sheetId="2" r:id="rId2"/>
    <sheet name="Q8_Dashboard" sheetId="4" r:id="rId3"/>
    <sheet name="Q9_Summary_Report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6" l="1"/>
  <c r="B29" i="6"/>
  <c r="B20" i="6"/>
  <c r="D64" i="6"/>
  <c r="D65" i="6"/>
  <c r="D66" i="6"/>
  <c r="D67" i="6"/>
  <c r="C64" i="6"/>
  <c r="C65" i="6"/>
  <c r="C66" i="6"/>
  <c r="C67" i="6"/>
  <c r="C68" i="6"/>
  <c r="B64" i="6"/>
  <c r="B65" i="6"/>
  <c r="B66" i="6"/>
  <c r="B67" i="6"/>
  <c r="B68" i="6"/>
  <c r="D56" i="6"/>
  <c r="C56" i="6"/>
  <c r="C57" i="6"/>
  <c r="C58" i="6"/>
  <c r="B56" i="6"/>
  <c r="B57" i="6"/>
  <c r="D57" i="6" s="1"/>
  <c r="B58" i="6"/>
  <c r="D58" i="6" s="1"/>
  <c r="D46" i="6"/>
  <c r="C46" i="6"/>
  <c r="C47" i="6"/>
  <c r="C48" i="6"/>
  <c r="C49" i="6"/>
  <c r="C50" i="6"/>
  <c r="B46" i="6"/>
  <c r="B47" i="6"/>
  <c r="D47" i="6" s="1"/>
  <c r="B48" i="6"/>
  <c r="D48" i="6" s="1"/>
  <c r="B49" i="6"/>
  <c r="D49" i="6" s="1"/>
  <c r="B50" i="6"/>
  <c r="D50" i="6" s="1"/>
  <c r="C39" i="6"/>
  <c r="C40" i="6"/>
  <c r="B40" i="6"/>
  <c r="E40" i="6" s="1"/>
  <c r="E30" i="6"/>
  <c r="E32" i="6"/>
  <c r="C29" i="6"/>
  <c r="C30" i="6"/>
  <c r="D30" i="6" s="1"/>
  <c r="C31" i="6"/>
  <c r="C32" i="6"/>
  <c r="C33" i="6"/>
  <c r="B30" i="6"/>
  <c r="B31" i="6"/>
  <c r="D31" i="6" s="1"/>
  <c r="B32" i="6"/>
  <c r="D32" i="6" s="1"/>
  <c r="B33" i="6"/>
  <c r="E33" i="6" s="1"/>
  <c r="C20" i="6"/>
  <c r="C21" i="6"/>
  <c r="C22" i="6"/>
  <c r="C23" i="6"/>
  <c r="B21" i="6"/>
  <c r="D21" i="6" s="1"/>
  <c r="B22" i="6"/>
  <c r="D22" i="6" s="1"/>
  <c r="B23" i="6"/>
  <c r="E23" i="6" s="1"/>
  <c r="B14" i="6"/>
  <c r="B13" i="6"/>
  <c r="B12" i="6"/>
  <c r="B11" i="6"/>
  <c r="B10" i="6" a="1"/>
  <c r="B10" i="6" s="1"/>
  <c r="B9" i="6" a="1"/>
  <c r="B9" i="6" s="1"/>
  <c r="B8" i="6"/>
  <c r="J37" i="4"/>
  <c r="J36" i="4"/>
  <c r="J35" i="4"/>
  <c r="J34" i="4"/>
  <c r="G36" i="4"/>
  <c r="G35" i="4"/>
  <c r="G34" i="4"/>
  <c r="F36" i="4"/>
  <c r="E5" i="4"/>
  <c r="D5" i="4"/>
  <c r="C5" i="4"/>
  <c r="B5" i="4" a="1"/>
  <c r="B5" i="4" s="1"/>
  <c r="A5" i="4"/>
  <c r="C759" i="1"/>
  <c r="C758" i="1"/>
  <c r="C757" i="1"/>
  <c r="C756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B436" i="1"/>
  <c r="B729" i="1"/>
  <c r="B669" i="1"/>
  <c r="B410" i="1"/>
  <c r="B569" i="1"/>
  <c r="B546" i="1"/>
  <c r="B409" i="1"/>
  <c r="B640" i="1"/>
  <c r="B470" i="1"/>
  <c r="B526" i="1"/>
  <c r="B613" i="1"/>
  <c r="B564" i="1"/>
  <c r="B434" i="1"/>
  <c r="B736" i="1"/>
  <c r="B683" i="1"/>
  <c r="B523" i="1"/>
  <c r="B582" i="1"/>
  <c r="B616" i="1"/>
  <c r="B562" i="1"/>
  <c r="B695" i="1"/>
  <c r="B529" i="1"/>
  <c r="B396" i="1"/>
  <c r="B715" i="1"/>
  <c r="B509" i="1"/>
  <c r="B638" i="1"/>
  <c r="B515" i="1"/>
  <c r="B705" i="1"/>
  <c r="B601" i="1"/>
  <c r="B556" i="1"/>
  <c r="B614" i="1"/>
  <c r="B708" i="1"/>
  <c r="B667" i="1"/>
  <c r="B536" i="1"/>
  <c r="B713" i="1"/>
  <c r="B548" i="1"/>
  <c r="B672" i="1"/>
  <c r="B440" i="1"/>
  <c r="B469" i="1"/>
  <c r="B513" i="1"/>
  <c r="B456" i="1"/>
  <c r="B407" i="1"/>
  <c r="B447" i="1"/>
  <c r="B629" i="1"/>
  <c r="B480" i="1"/>
  <c r="B718" i="1"/>
  <c r="B471" i="1"/>
  <c r="B572" i="1"/>
  <c r="B725" i="1"/>
  <c r="B466" i="1"/>
  <c r="B463" i="1"/>
  <c r="B665" i="1"/>
  <c r="B431" i="1"/>
  <c r="B637" i="1"/>
  <c r="B576" i="1"/>
  <c r="B403" i="1"/>
  <c r="B418" i="1"/>
  <c r="B516" i="1"/>
  <c r="B587" i="1"/>
  <c r="B415" i="1"/>
  <c r="B464" i="1"/>
  <c r="B557" i="1"/>
  <c r="B519" i="1"/>
  <c r="B446" i="1"/>
  <c r="B437" i="1"/>
  <c r="B677" i="1"/>
  <c r="B499" i="1"/>
  <c r="B549" i="1"/>
  <c r="B566" i="1"/>
  <c r="B575" i="1"/>
  <c r="B525" i="1"/>
  <c r="B506" i="1"/>
  <c r="B632" i="1"/>
  <c r="B622" i="1"/>
  <c r="B421" i="1"/>
  <c r="B680" i="1"/>
  <c r="B406" i="1"/>
  <c r="B647" i="1"/>
  <c r="B609" i="1"/>
  <c r="B668" i="1"/>
  <c r="B424" i="1"/>
  <c r="B539" i="1"/>
  <c r="B701" i="1"/>
  <c r="B717" i="1"/>
  <c r="B404" i="1"/>
  <c r="B554" i="1"/>
  <c r="B422" i="1"/>
  <c r="B739" i="1"/>
  <c r="B395" i="1"/>
  <c r="B662" i="1"/>
  <c r="B477" i="1"/>
  <c r="B481" i="1"/>
  <c r="B674" i="1"/>
  <c r="B416" i="1"/>
  <c r="B527" i="1"/>
  <c r="B443" i="1"/>
  <c r="B618" i="1"/>
  <c r="B676" i="1"/>
  <c r="B412" i="1"/>
  <c r="B654" i="1"/>
  <c r="B603" i="1"/>
  <c r="B565" i="1"/>
  <c r="B459" i="1"/>
  <c r="B623" i="1"/>
  <c r="B589" i="1"/>
  <c r="B489" i="1"/>
  <c r="B606" i="1"/>
  <c r="B579" i="1"/>
  <c r="B720" i="1"/>
  <c r="B411" i="1"/>
  <c r="B394" i="1"/>
  <c r="B719" i="1"/>
  <c r="B540" i="1"/>
  <c r="B454" i="1"/>
  <c r="B624" i="1"/>
  <c r="B627" i="1"/>
  <c r="B547" i="1"/>
  <c r="B487" i="1"/>
  <c r="B659" i="1"/>
  <c r="B496" i="1"/>
  <c r="B702" i="1"/>
  <c r="B413" i="1"/>
  <c r="B425" i="1"/>
  <c r="B441" i="1"/>
  <c r="B639" i="1"/>
  <c r="B504" i="1"/>
  <c r="B505" i="1"/>
  <c r="B542" i="1"/>
  <c r="B500" i="1"/>
  <c r="B479" i="1"/>
  <c r="B588" i="1"/>
  <c r="B707" i="1"/>
  <c r="B559" i="1"/>
  <c r="B577" i="1"/>
  <c r="B721" i="1"/>
  <c r="B635" i="1"/>
  <c r="B605" i="1"/>
  <c r="B620" i="1"/>
  <c r="B461" i="1"/>
  <c r="B650" i="1"/>
  <c r="B706" i="1"/>
  <c r="B737" i="1"/>
  <c r="B663" i="1"/>
  <c r="B631" i="1"/>
  <c r="B451" i="1"/>
  <c r="B619" i="1"/>
  <c r="B530" i="1"/>
  <c r="B583" i="1"/>
  <c r="B483" i="1"/>
  <c r="B684" i="1"/>
  <c r="B563" i="1"/>
  <c r="B648" i="1"/>
  <c r="B597" i="1"/>
  <c r="B724" i="1"/>
  <c r="B673" i="1"/>
  <c r="B439" i="1"/>
  <c r="B450" i="1"/>
  <c r="B507" i="1"/>
  <c r="B611" i="1"/>
  <c r="B723" i="1"/>
  <c r="B419" i="1"/>
  <c r="B537" i="1"/>
  <c r="B693" i="1"/>
  <c r="B405" i="1"/>
  <c r="B598" i="1"/>
  <c r="B592" i="1"/>
  <c r="B698" i="1"/>
  <c r="B595" i="1"/>
  <c r="B666" i="1"/>
  <c r="B552" i="1"/>
  <c r="B531" i="1"/>
  <c r="B671" i="1"/>
  <c r="B696" i="1"/>
  <c r="B502" i="1"/>
  <c r="B514" i="1"/>
  <c r="B636" i="1"/>
  <c r="B484" i="1"/>
  <c r="B615" i="1"/>
  <c r="B491" i="1"/>
  <c r="B571" i="1"/>
  <c r="B628" i="1"/>
  <c r="B538" i="1"/>
  <c r="B435" i="1"/>
  <c r="B433" i="1"/>
  <c r="B560" i="1"/>
  <c r="B593" i="1"/>
  <c r="B493" i="1"/>
  <c r="B488" i="1"/>
  <c r="B486" i="1"/>
  <c r="B644" i="1"/>
  <c r="B626" i="1"/>
  <c r="B408" i="1"/>
  <c r="B423" i="1"/>
  <c r="B664" i="1"/>
  <c r="B458" i="1"/>
  <c r="B642" i="1"/>
  <c r="B621" i="1"/>
  <c r="B678" i="1"/>
  <c r="B682" i="1"/>
  <c r="B528" i="1"/>
  <c r="B478" i="1"/>
  <c r="B649" i="1"/>
  <c r="B732" i="1"/>
  <c r="B612" i="1"/>
  <c r="B643" i="1"/>
  <c r="B535" i="1"/>
  <c r="B445" i="1"/>
  <c r="B735" i="1"/>
  <c r="B686" i="1"/>
  <c r="B518" i="1"/>
  <c r="B448" i="1"/>
  <c r="B545" i="1"/>
  <c r="B690" i="1"/>
  <c r="B508" i="1"/>
  <c r="B692" i="1"/>
  <c r="B391" i="1"/>
  <c r="B590" i="1"/>
  <c r="B573" i="1"/>
  <c r="B561" i="1"/>
  <c r="B474" i="1"/>
  <c r="B608" i="1"/>
  <c r="B429" i="1"/>
  <c r="B653" i="1"/>
  <c r="B553" i="1"/>
  <c r="B495" i="1"/>
  <c r="B543" i="1"/>
  <c r="B472" i="1"/>
  <c r="B687" i="1"/>
  <c r="B453" i="1"/>
  <c r="B658" i="1"/>
  <c r="B661" i="1"/>
  <c r="B482" i="1"/>
  <c r="B420" i="1"/>
  <c r="B726" i="1"/>
  <c r="B432" i="1"/>
  <c r="B625" i="1"/>
  <c r="B551" i="1"/>
  <c r="B449" i="1"/>
  <c r="B655" i="1"/>
  <c r="B594" i="1"/>
  <c r="B568" i="1"/>
  <c r="B522" i="1"/>
  <c r="B397" i="1"/>
  <c r="B710" i="1"/>
  <c r="B393" i="1"/>
  <c r="B468" i="1"/>
  <c r="B734" i="1"/>
  <c r="B699" i="1"/>
  <c r="B427" i="1"/>
  <c r="B740" i="1"/>
  <c r="B714" i="1"/>
  <c r="B501" i="1"/>
  <c r="B585" i="1"/>
  <c r="B438" i="1"/>
  <c r="B428" i="1"/>
  <c r="B574" i="1"/>
  <c r="B688" i="1"/>
  <c r="B473" i="1"/>
  <c r="B646" i="1"/>
  <c r="B607" i="1"/>
  <c r="B728" i="1"/>
  <c r="B727" i="1"/>
  <c r="B656" i="1"/>
  <c r="B398" i="1"/>
  <c r="B517" i="1"/>
  <c r="B444" i="1"/>
  <c r="B657" i="1"/>
  <c r="B498" i="1"/>
  <c r="B550" i="1"/>
  <c r="B430" i="1"/>
  <c r="B651" i="1"/>
  <c r="B567" i="1"/>
  <c r="B490" i="1"/>
  <c r="B511" i="1"/>
  <c r="B670" i="1"/>
  <c r="B426" i="1"/>
  <c r="B475" i="1"/>
  <c r="B681" i="1"/>
  <c r="B524" i="1"/>
  <c r="B533" i="1"/>
  <c r="B596" i="1"/>
  <c r="B645" i="1"/>
  <c r="B733" i="1"/>
  <c r="B497" i="1"/>
  <c r="B414" i="1"/>
  <c r="B709" i="1"/>
  <c r="B633" i="1"/>
  <c r="B580" i="1"/>
  <c r="B591" i="1"/>
  <c r="B697" i="1"/>
  <c r="B586" i="1"/>
  <c r="B599" i="1"/>
  <c r="B558" i="1"/>
  <c r="B685" i="1"/>
  <c r="B465" i="1"/>
  <c r="B521" i="1"/>
  <c r="B634" i="1"/>
  <c r="B703" i="1"/>
  <c r="B570" i="1"/>
  <c r="B503" i="1"/>
  <c r="B731" i="1"/>
  <c r="B604" i="1"/>
  <c r="B660" i="1"/>
  <c r="B689" i="1"/>
  <c r="B544" i="1"/>
  <c r="B675" i="1"/>
  <c r="B400" i="1"/>
  <c r="B462" i="1"/>
  <c r="B520" i="1"/>
  <c r="B711" i="1"/>
  <c r="B600" i="1"/>
  <c r="B494" i="1"/>
  <c r="B510" i="1"/>
  <c r="B452" i="1"/>
  <c r="B457" i="1"/>
  <c r="B467" i="1"/>
  <c r="B512" i="1"/>
  <c r="B578" i="1"/>
  <c r="B399" i="1"/>
  <c r="B584" i="1"/>
  <c r="B630" i="1"/>
  <c r="B442" i="1"/>
  <c r="B712" i="1"/>
  <c r="B541" i="1"/>
  <c r="B722" i="1"/>
  <c r="B532" i="1"/>
  <c r="B460" i="1"/>
  <c r="B716" i="1"/>
  <c r="B617" i="1"/>
  <c r="B679" i="1"/>
  <c r="B417" i="1"/>
  <c r="B704" i="1"/>
  <c r="B652" i="1"/>
  <c r="B492" i="1"/>
  <c r="B534" i="1"/>
  <c r="B730" i="1"/>
  <c r="B555" i="1"/>
  <c r="B455" i="1"/>
  <c r="B485" i="1"/>
  <c r="B694" i="1"/>
  <c r="B401" i="1"/>
  <c r="B691" i="1"/>
  <c r="B392" i="1"/>
  <c r="B476" i="1"/>
  <c r="B738" i="1"/>
  <c r="B581" i="1"/>
  <c r="B610" i="1"/>
  <c r="B641" i="1"/>
  <c r="B402" i="1"/>
  <c r="B602" i="1"/>
  <c r="B700" i="1"/>
  <c r="E22" i="6" l="1"/>
  <c r="E21" i="6"/>
  <c r="E31" i="6"/>
  <c r="D33" i="6"/>
  <c r="D23" i="6"/>
  <c r="D40" i="6"/>
  <c r="F21" i="6"/>
  <c r="F30" i="6"/>
  <c r="D39" i="6"/>
  <c r="E39" i="6"/>
  <c r="F33" i="6"/>
  <c r="F32" i="6"/>
  <c r="F29" i="6"/>
  <c r="E29" i="6"/>
  <c r="D29" i="6"/>
  <c r="F31" i="6"/>
  <c r="D20" i="6"/>
  <c r="F20" i="6"/>
  <c r="E20" i="6"/>
  <c r="F23" i="6"/>
  <c r="F22" i="6"/>
  <c r="F35" i="4"/>
  <c r="J11" i="4"/>
  <c r="K11" i="4"/>
  <c r="K10" i="4"/>
  <c r="J10" i="4"/>
  <c r="F34" i="4"/>
  <c r="B13" i="4"/>
  <c r="B12" i="4"/>
  <c r="C12" i="4"/>
  <c r="B11" i="4"/>
  <c r="B10" i="4"/>
  <c r="C11" i="4"/>
  <c r="C13" i="4"/>
  <c r="C10" i="4"/>
  <c r="B37" i="4"/>
  <c r="B36" i="4"/>
  <c r="C38" i="4"/>
  <c r="B38" i="4"/>
  <c r="B35" i="4"/>
  <c r="B34" i="4"/>
  <c r="C36" i="4"/>
  <c r="C37" i="4"/>
  <c r="C35" i="4"/>
  <c r="C34" i="4"/>
  <c r="G11" i="4"/>
  <c r="F12" i="4"/>
  <c r="G10" i="4"/>
  <c r="G14" i="4"/>
  <c r="F11" i="4"/>
  <c r="G12" i="4"/>
  <c r="F13" i="4"/>
  <c r="F10" i="4"/>
  <c r="G13" i="4"/>
  <c r="F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<sst xmlns="http://schemas.openxmlformats.org/spreadsheetml/2006/main" count="2220" uniqueCount="480">
  <si>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</si>
  <si>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</si>
  <si>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</si>
  <si>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</si>
  <si>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</si>
  <si>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</si>
  <si>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</si>
  <si>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</si>
  <si>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</si>
  <si>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</si>
  <si>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</si>
  <si>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</si>
  <si>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</si>
  <si>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</si>
  <si>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</si>
  <si>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</si>
  <si>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</si>
  <si>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</si>
  <si>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</si>
  <si>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</si>
  <si>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</si>
  <si>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</si>
  <si>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</si>
  <si>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</si>
  <si>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</si>
  <si>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</si>
  <si>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</si>
  <si>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</si>
  <si>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</si>
  <si>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</si>
  <si>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</si>
  <si>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</si>
  <si>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</si>
  <si>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</si>
  <si>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</si>
  <si>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</si>
  <si>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</si>
  <si>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</si>
  <si>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</si>
  <si>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</si>
  <si>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</si>
  <si>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</si>
  <si>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</si>
  <si>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</si>
  <si>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</si>
  <si>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</si>
  <si>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</si>
  <si>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</si>
  <si>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</si>
  <si>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</si>
  <si>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</si>
  <si>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</si>
  <si>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</si>
  <si>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</si>
  <si>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</si>
  <si>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</si>
  <si>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</si>
  <si>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</si>
  <si>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</si>
  <si>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</si>
  <si>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</si>
  <si>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</si>
  <si>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</si>
  <si>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</si>
  <si>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</si>
  <si>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</si>
  <si>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</si>
  <si>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</si>
  <si>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</si>
  <si>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</si>
  <si>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</si>
  <si>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</si>
  <si>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</si>
  <si>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</si>
  <si>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</si>
  <si>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</si>
  <si>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</si>
  <si>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</si>
  <si>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</si>
  <si>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</si>
  <si>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</si>
  <si>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</si>
  <si>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</si>
  <si>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</si>
  <si>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</si>
  <si>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</si>
  <si>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</si>
  <si>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</si>
  <si>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</si>
  <si>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</si>
  <si>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</si>
  <si>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</si>
  <si>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</si>
  <si>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</si>
  <si>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</si>
  <si>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</si>
  <si>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</si>
  <si>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</si>
  <si>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</si>
  <si>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</si>
  <si>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</si>
  <si>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</si>
  <si>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</si>
  <si>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</si>
  <si>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</si>
  <si>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</si>
  <si>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</si>
  <si>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</si>
  <si>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</si>
  <si>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</si>
  <si>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</si>
  <si>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</si>
  <si>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</si>
  <si>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</si>
  <si>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</si>
  <si>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</si>
  <si>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</si>
  <si>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</si>
  <si>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</si>
  <si>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</si>
  <si>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</si>
  <si>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</si>
  <si>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</si>
  <si>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</si>
  <si>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</si>
  <si>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</si>
  <si>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</si>
  <si>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</si>
  <si>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</si>
  <si>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</si>
  <si>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</si>
  <si>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</si>
  <si>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</si>
  <si>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</si>
  <si>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</si>
  <si>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</si>
  <si>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</si>
  <si>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</si>
  <si>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</si>
  <si>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</si>
  <si>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</si>
  <si>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</si>
  <si>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</si>
  <si>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</si>
  <si>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</si>
  <si>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</si>
  <si>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</si>
  <si>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</si>
  <si>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</si>
  <si>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</si>
  <si>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</si>
  <si>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</si>
  <si>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</si>
  <si>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</si>
  <si>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</si>
  <si>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</si>
  <si>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</si>
  <si>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</si>
  <si>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</si>
  <si>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</si>
  <si>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</si>
  <si>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</si>
  <si>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</si>
  <si>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</si>
  <si>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</si>
  <si>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</si>
  <si>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</si>
  <si>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</si>
  <si>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</si>
  <si>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</si>
  <si>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</si>
  <si>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</si>
  <si>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</si>
  <si>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</si>
  <si>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</si>
  <si>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</si>
  <si>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</si>
  <si>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</si>
  <si>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</si>
  <si>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</si>
  <si>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</si>
  <si>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</si>
  <si>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</si>
  <si>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</si>
  <si>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</si>
  <si>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</si>
  <si>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</si>
  <si>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</si>
  <si>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</si>
  <si>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</si>
  <si>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</si>
  <si>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</si>
  <si>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</si>
  <si>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</si>
  <si>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</si>
  <si>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</si>
  <si>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</si>
  <si>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</si>
  <si>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</si>
  <si>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</si>
  <si>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</si>
  <si>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</si>
  <si>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</si>
  <si>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</si>
  <si>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</si>
  <si>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</si>
  <si>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</si>
  <si>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</si>
  <si>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</si>
  <si>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</si>
  <si>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</si>
  <si>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</si>
  <si>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</si>
  <si>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</si>
  <si>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</si>
  <si>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</si>
  <si>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</si>
  <si>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</si>
  <si>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</si>
  <si>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</si>
  <si>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</si>
  <si>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</si>
  <si>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</si>
  <si>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</si>
  <si>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</si>
  <si>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</si>
  <si>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</si>
  <si>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</si>
  <si>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</si>
  <si>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</si>
  <si>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</si>
  <si>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</si>
  <si>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</si>
  <si>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</si>
  <si>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</si>
  <si>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</si>
  <si>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</si>
  <si>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</si>
  <si>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</si>
  <si>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</si>
  <si>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</si>
  <si>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</si>
  <si>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</si>
  <si>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</si>
  <si>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</si>
  <si>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</si>
  <si>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</si>
  <si>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</si>
  <si>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</si>
  <si>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</si>
  <si>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</si>
  <si>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</si>
  <si>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</si>
  <si>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</si>
  <si>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</si>
  <si>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</si>
  <si>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</si>
  <si>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</si>
  <si>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</si>
  <si>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</si>
  <si>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</si>
  <si>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</si>
  <si>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</si>
  <si>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</si>
  <si>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</si>
  <si>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</si>
  <si>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</si>
  <si>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</si>
  <si>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</si>
  <si>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</si>
  <si>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</si>
  <si>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</si>
  <si>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</si>
  <si>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</si>
  <si>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</si>
  <si>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</si>
  <si>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</si>
  <si>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</si>
  <si>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</si>
  <si>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</si>
  <si>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</si>
  <si>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</si>
  <si>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</si>
  <si>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</si>
  <si>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</si>
  <si>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</si>
  <si>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</si>
  <si>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</si>
  <si>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</si>
  <si>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</si>
  <si>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</si>
  <si>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</si>
  <si>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</si>
  <si>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</si>
  <si>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</si>
  <si>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</si>
  <si>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</si>
  <si>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</si>
  <si>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</si>
  <si>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</si>
  <si>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</si>
  <si>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</si>
  <si>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</si>
  <si>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</si>
  <si>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</si>
  <si>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</si>
  <si>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</si>
  <si>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</si>
  <si>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</si>
  <si>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</si>
  <si>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</si>
  <si>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</si>
  <si>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</si>
  <si>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</si>
  <si>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</si>
  <si>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</si>
  <si>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</si>
  <si>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</si>
  <si>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</si>
  <si>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</si>
  <si>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</si>
  <si>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</si>
  <si>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</si>
  <si>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</si>
  <si>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</si>
  <si>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</si>
  <si>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</si>
  <si>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</si>
  <si>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</si>
  <si>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</si>
  <si>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</si>
  <si>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</si>
  <si>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</si>
  <si>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</si>
  <si>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</si>
  <si>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</si>
  <si>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</si>
  <si>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</si>
  <si>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</si>
  <si>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</si>
  <si>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</si>
  <si>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</si>
  <si>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</si>
  <si>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</si>
  <si>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</si>
  <si>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</si>
  <si>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</si>
  <si>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</si>
  <si>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</si>
  <si>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</si>
  <si>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</si>
  <si>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</si>
  <si>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</si>
  <si>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</si>
  <si>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</si>
  <si>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</si>
  <si>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</si>
  <si>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</si>
  <si>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</si>
  <si>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</si>
  <si>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</si>
  <si>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</si>
  <si>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</si>
  <si>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</si>
  <si>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</si>
  <si>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</si>
  <si>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</si>
  <si>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</si>
  <si>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</si>
  <si>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</si>
  <si>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</si>
  <si>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</si>
  <si>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</si>
  <si>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</si>
  <si>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</si>
  <si>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</si>
  <si>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</si>
  <si>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</si>
  <si>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</si>
  <si>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Missing Values Summary</t>
  </si>
  <si>
    <t>Column Name</t>
  </si>
  <si>
    <t>Missing Count</t>
  </si>
  <si>
    <t>% Missing</t>
  </si>
  <si>
    <t>Affected Row Numbers</t>
  </si>
  <si>
    <t>None</t>
  </si>
  <si>
    <t>11, 19, 32, 51, 65, 119, 123, 223, 333, 348</t>
  </si>
  <si>
    <t>26, 160, 212, 254, 265, 285, 307, 308, 309, 325</t>
  </si>
  <si>
    <t>40, 132, 201, 229, 252, 290, 295, 315, 318, 329</t>
  </si>
  <si>
    <t>29, 38, 46, 81, 93, 158, 258, 262, 289, 309</t>
  </si>
  <si>
    <t>Summary Statistics</t>
  </si>
  <si>
    <t>Total Data Rows:</t>
  </si>
  <si>
    <t>Total Columns:</t>
  </si>
  <si>
    <t>Total Missing Values:</t>
  </si>
  <si>
    <t>Columns with Missing Data:</t>
  </si>
  <si>
    <t>Q1. Use Copilot to identify and summarize missing values in the dataset.</t>
  </si>
  <si>
    <t>Q2. Use Copilot to fill missing values in the Region and Category columns.</t>
  </si>
  <si>
    <t>Q3. Fill missing numeric values in the Units Sold and Unit Price columns.</t>
  </si>
  <si>
    <t>Q4. Create a new calculated column Total Revenue.</t>
  </si>
  <si>
    <t>Total Revenue</t>
  </si>
  <si>
    <t>Row Labels</t>
  </si>
  <si>
    <t>(blank)</t>
  </si>
  <si>
    <t>Grand Total</t>
  </si>
  <si>
    <t>Count</t>
  </si>
  <si>
    <t>Q5. Use Copilot to find the total price of Order ID = 'ORD0123'.</t>
  </si>
  <si>
    <t>Formula Used</t>
  </si>
  <si>
    <t>Answer for Q5: Total Price for Order ID 'ORD0123'</t>
  </si>
  <si>
    <t>Total Revenue (Total Price)</t>
  </si>
  <si>
    <t>Formula: Total Revenue = Units Sold × Unit Price = 46 × $344.55 = $15,849.30</t>
  </si>
  <si>
    <t>Q6. Use Copilot to generate a summary chart of average profit by region.</t>
  </si>
  <si>
    <t>Profit</t>
  </si>
  <si>
    <t>Average Profit</t>
  </si>
  <si>
    <t>Answer:</t>
  </si>
  <si>
    <t>Column Labels</t>
  </si>
  <si>
    <t>Total Sales (Profit)</t>
  </si>
  <si>
    <t>Q7. Pivot Table: Total Sales by Category and Region</t>
  </si>
  <si>
    <t>Q8. Build a dashboard combining key KPIs and charts.</t>
  </si>
  <si>
    <t>RETAIL SALES DASHBOARD</t>
  </si>
  <si>
    <t>Key Performance Indicators &amp; Analytics</t>
  </si>
  <si>
    <t>Total Orders</t>
  </si>
  <si>
    <t>Total Profit</t>
  </si>
  <si>
    <t>Avg Profit/Order</t>
  </si>
  <si>
    <t>Total Units Sold</t>
  </si>
  <si>
    <t>📊 Sales by Region</t>
  </si>
  <si>
    <t>Order Count</t>
  </si>
  <si>
    <t>📦 Sales by Category</t>
  </si>
  <si>
    <t>🛒 Sales Channel</t>
  </si>
  <si>
    <t>Channel</t>
  </si>
  <si>
    <t>🌍 Top 5 Countries by Profit</t>
  </si>
  <si>
    <t>⚡ Order Priority Breakdown</t>
  </si>
  <si>
    <t>Priority</t>
  </si>
  <si>
    <t>⚠️ Data Quality</t>
  </si>
  <si>
    <t>Metric</t>
  </si>
  <si>
    <t>Missing Region</t>
  </si>
  <si>
    <t>Missing Category</t>
  </si>
  <si>
    <t>Missing Units</t>
  </si>
  <si>
    <t>Missing Price</t>
  </si>
  <si>
    <t>📊 RETAIL SALES SUMMARY REPORT</t>
  </si>
  <si>
    <t>Comprehensive Analysis of Sales Performance</t>
  </si>
  <si>
    <t>Report Generated: April 17, 2026</t>
  </si>
  <si>
    <t>1. EXECUTIVE SUMMARY</t>
  </si>
  <si>
    <t>KPI</t>
  </si>
  <si>
    <t>Value</t>
  </si>
  <si>
    <t>Description</t>
  </si>
  <si>
    <t>Number of unique orders in dataset</t>
  </si>
  <si>
    <t>Units Sold × Unit Price</t>
  </si>
  <si>
    <t>Total Cost</t>
  </si>
  <si>
    <t>Units Sold × Unit Cost</t>
  </si>
  <si>
    <t>Total Revenue - Total Cost</t>
  </si>
  <si>
    <t>Average Order Profit</t>
  </si>
  <si>
    <t>Mean profit per order</t>
  </si>
  <si>
    <t>Sum of all units sold</t>
  </si>
  <si>
    <t>Profit Margin %</t>
  </si>
  <si>
    <t>Total Profit / Total Revenue</t>
  </si>
  <si>
    <t>2. REGIONAL PERFORMANCE</t>
  </si>
  <si>
    <t>% of Total Profit</t>
  </si>
  <si>
    <t>Performance</t>
  </si>
  <si>
    <t>3. CATEGORY PERFORMANCE</t>
  </si>
  <si>
    <t>4. SALES CHANNEL ANALYSIS</t>
  </si>
  <si>
    <t>% of Total</t>
  </si>
  <si>
    <t>5. TOP 5 COUNTRIES BY PROFIT</t>
  </si>
  <si>
    <t>6. ORDER PRIORITY BREAKDOWN</t>
  </si>
  <si>
    <t>7. DATA QUALITY REPORT</t>
  </si>
  <si>
    <t>Field</t>
  </si>
  <si>
    <t>Status</t>
  </si>
  <si>
    <t>Total Missing</t>
  </si>
  <si>
    <t>8. KEY INSIGHTS &amp; RECOMMENDATIONS</t>
  </si>
  <si>
    <t>📈 TOP PERFORMERS:</t>
  </si>
  <si>
    <t>• South region leads with highest total profit</t>
  </si>
  <si>
    <t>• Food category generates the highest profit among all categories</t>
  </si>
  <si>
    <t>• India is the top-performing country by profit contribution</t>
  </si>
  <si>
    <t>• Offline sales channel outperforms Online in total profit</t>
  </si>
  <si>
    <t>⚠️ AREAS FOR IMPROVEMENT:</t>
  </si>
  <si>
    <t>• West region has lowest profit - investigate market conditions</t>
  </si>
  <si>
    <t>• Beverages category underperforms relative to others</t>
  </si>
  <si>
    <t>• 40 missing values across 4 fields - improve data collection</t>
  </si>
  <si>
    <t>💡 RECOMMENDATIONS:</t>
  </si>
  <si>
    <t>• Focus marketing efforts on high-performing South region</t>
  </si>
  <si>
    <t>• Investigate pricing strategy for Beverages category</t>
  </si>
  <si>
    <t>• Address data quality issues in Region, Category, Units Sold, and Unit Price fields</t>
  </si>
  <si>
    <t>--- End of Report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</si>
</sst>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.00"/>
  </numFmts>
  <fonts count="21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4"/>
      <color rgb="FFFFFFFF"/>
      <name val="Calibri"/>
      <scheme val="minor"/>
    </font>
    <font>
      <b/>
      <sz val="12"/>
      <color rgb="FFFFFFFF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2"/>
      <color rgb="FF1F4E79"/>
      <name val="Calibri"/>
      <family val="2"/>
      <scheme val="minor"/>
    </font>
    <font>
      <sz val="10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10" fontId="0" fillId="0" borderId="0" xfId="0" applyNumberFormat="1"/>
    <xf numFmtId="0" fontId="5" fillId="3" borderId="2" xfId="0" applyFont="1" applyFill="1" applyBorder="1"/>
    <xf numFmtId="0" fontId="0" fillId="0" borderId="2" xfId="0" applyBorder="1"/>
    <xf numFmtId="10" fontId="0" fillId="0" borderId="2" xfId="0" applyNumberFormat="1" applyBorder="1"/>
    <xf numFmtId="0" fontId="0" fillId="4" borderId="2" xfId="0" applyFill="1" applyBorder="1"/>
    <xf numFmtId="10" fontId="0" fillId="4" borderId="2" xfId="0" applyNumberFormat="1" applyFill="1" applyBorder="1"/>
    <xf numFmtId="0" fontId="5" fillId="0" borderId="2" xfId="0" applyFont="1" applyBorder="1"/>
    <xf numFmtId="0" fontId="6" fillId="2" borderId="0" xfId="0" applyFont="1" applyFill="1" applyAlignment="1">
      <alignment horizontal="center"/>
    </xf>
    <xf numFmtId="0" fontId="4" fillId="0" borderId="0" xfId="0" applyFont="1"/>
    <xf numFmtId="0" fontId="1" fillId="0" borderId="3" xfId="0" applyFont="1" applyBorder="1" applyAlignment="1">
      <alignment horizontal="center" vertical="top"/>
    </xf>
    <xf numFmtId="4" fontId="0" fillId="0" borderId="0" xfId="0" applyNumberFormat="1"/>
    <xf numFmtId="0" fontId="1" fillId="0" borderId="3" xfId="0" applyFont="1" applyBorder="1" applyAlignment="1">
      <alignment horizontal="left" vertical="top" indent="10"/>
    </xf>
    <xf numFmtId="4" fontId="0" fillId="0" borderId="0" xfId="0" applyNumberFormat="1" applyAlignment="1">
      <alignment horizontal="left" indent="10"/>
    </xf>
    <xf numFmtId="0" fontId="8" fillId="2" borderId="0" xfId="0" applyFont="1" applyFill="1"/>
    <xf numFmtId="165" fontId="0" fillId="0" borderId="0" xfId="0" applyNumberFormat="1"/>
    <xf numFmtId="165" fontId="4" fillId="6" borderId="0" xfId="0" applyNumberFormat="1" applyFont="1" applyFill="1"/>
    <xf numFmtId="0" fontId="9" fillId="0" borderId="3" xfId="0" applyFont="1" applyBorder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8" fillId="2" borderId="2" xfId="0" applyFont="1" applyFill="1" applyBorder="1"/>
    <xf numFmtId="165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2" fillId="0" borderId="0" xfId="0" applyFont="1"/>
    <xf numFmtId="0" fontId="16" fillId="0" borderId="0" xfId="0" applyFont="1"/>
    <xf numFmtId="0" fontId="4" fillId="9" borderId="2" xfId="0" applyFont="1" applyFill="1" applyBorder="1" applyAlignment="1">
      <alignment horizontal="center"/>
    </xf>
    <xf numFmtId="3" fontId="15" fillId="10" borderId="2" xfId="0" applyNumberFormat="1" applyFont="1" applyFill="1" applyBorder="1" applyAlignment="1">
      <alignment horizontal="center"/>
    </xf>
    <xf numFmtId="165" fontId="15" fillId="10" borderId="2" xfId="0" applyNumberFormat="1" applyFont="1" applyFill="1" applyBorder="1" applyAlignment="1">
      <alignment horizontal="center"/>
    </xf>
    <xf numFmtId="0" fontId="8" fillId="7" borderId="2" xfId="0" applyFont="1" applyFill="1" applyBorder="1"/>
    <xf numFmtId="0" fontId="0" fillId="11" borderId="2" xfId="0" applyFill="1" applyBorder="1"/>
    <xf numFmtId="165" fontId="0" fillId="11" borderId="2" xfId="0" applyNumberFormat="1" applyFill="1" applyBorder="1"/>
    <xf numFmtId="0" fontId="0" fillId="12" borderId="2" xfId="0" applyFill="1" applyBorder="1"/>
    <xf numFmtId="165" fontId="0" fillId="12" borderId="2" xfId="0" applyNumberFormat="1" applyFill="1" applyBorder="1"/>
    <xf numFmtId="0" fontId="0" fillId="10" borderId="2" xfId="0" applyFill="1" applyBorder="1"/>
    <xf numFmtId="165" fontId="0" fillId="10" borderId="2" xfId="0" applyNumberFormat="1" applyFill="1" applyBorder="1"/>
    <xf numFmtId="165" fontId="0" fillId="4" borderId="2" xfId="0" applyNumberFormat="1" applyFill="1" applyBorder="1"/>
    <xf numFmtId="0" fontId="0" fillId="13" borderId="2" xfId="0" applyFill="1" applyBorder="1"/>
    <xf numFmtId="165" fontId="0" fillId="13" borderId="2" xfId="0" applyNumberFormat="1" applyFill="1" applyBorder="1"/>
    <xf numFmtId="0" fontId="0" fillId="14" borderId="2" xfId="0" applyFill="1" applyBorder="1"/>
    <xf numFmtId="0" fontId="4" fillId="15" borderId="0" xfId="0" applyFont="1" applyFill="1"/>
    <xf numFmtId="0" fontId="0" fillId="15" borderId="0" xfId="0" applyFill="1"/>
    <xf numFmtId="0" fontId="4" fillId="16" borderId="0" xfId="0" applyFont="1" applyFill="1"/>
    <xf numFmtId="3" fontId="0" fillId="0" borderId="0" xfId="0" applyNumberFormat="1"/>
    <xf numFmtId="10" fontId="4" fillId="0" borderId="0" xfId="0" applyNumberFormat="1" applyFont="1"/>
    <xf numFmtId="0" fontId="7" fillId="5" borderId="2" xfId="0" applyFont="1" applyFill="1" applyBorder="1"/>
    <xf numFmtId="0" fontId="7" fillId="5" borderId="0" xfId="0" applyFont="1" applyFill="1"/>
    <xf numFmtId="0" fontId="13" fillId="7" borderId="0" xfId="0" applyFont="1" applyFill="1" applyAlignment="1">
      <alignment horizontal="center"/>
    </xf>
    <xf numFmtId="0" fontId="0" fillId="7" borderId="0" xfId="0" applyFill="1"/>
    <xf numFmtId="0" fontId="14" fillId="8" borderId="0" xfId="0" applyFont="1" applyFill="1" applyAlignment="1">
      <alignment horizontal="center"/>
    </xf>
    <xf numFmtId="0" fontId="0" fillId="8" borderId="0" xfId="0" applyFill="1"/>
    <xf numFmtId="0" fontId="17" fillId="7" borderId="0" xfId="0" applyFont="1" applyFill="1" applyAlignment="1">
      <alignment horizontal="center"/>
    </xf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5">
    <dxf>
      <numFmt numFmtId="165" formatCode="&quot;$&quot;#,##0.00"/>
    </dxf>
    <dxf>
      <alignment horizontal="left" vertical="bottom" textRotation="0" wrapText="0" indent="10" justifyLastLine="0" shrinkToFit="0" readingOrder="0"/>
    </dxf>
    <dxf>
      <numFmt numFmtId="4" formatCode="#,##0.00"/>
      <alignment horizontal="left" vertical="bottom" textRotation="0" wrapText="0" indent="10" justifyLastLine="0" shrinkToFit="0" readingOrder="0"/>
    </dxf>
    <dxf>
      <alignment horizontal="left" vertical="bottom" textRotation="0" wrapText="0" indent="1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1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Average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Retail_Dataset!$C$755</c:f>
              <c:strCache>
                <c:ptCount val="1"/>
                <c:pt idx="0">
                  <c:v>Average Profit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Retail_Dataset!$B$756:$B$759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Retail_Dataset!$C$756:$C$759</c:f>
              <c:numCache>
                <c:formatCode>"$"#,##0.00</c:formatCode>
                <c:ptCount val="4"/>
                <c:pt idx="0">
                  <c:v>14326.302588235294</c:v>
                </c:pt>
                <c:pt idx="1">
                  <c:v>12800.432747252746</c:v>
                </c:pt>
                <c:pt idx="2">
                  <c:v>18854.885810810803</c:v>
                </c:pt>
                <c:pt idx="3">
                  <c:v>20705.107714285721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4-468E-8C59-09140705867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58129312"/>
        <c:axId val="658128592"/>
      </c:barChart>
      <c:catAx>
        <c:axId val="65812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28592"/>
        <c:crosses val="autoZero"/>
        <c:auto val="1"/>
        <c:lblAlgn val="ctr"/>
        <c:lblOffset val="100"/>
        <c:noMultiLvlLbl val="0"/>
      </c:catAx>
      <c:valAx>
        <c:axId val="65812859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crossAx val="65812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Q8_Dashboard!$B$9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Q8_Dashboard!$A$10:$A$13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Q8_Dashboard!$B$10:$B$13</c:f>
              <c:numCache>
                <c:formatCode>"$"#,##0.00</c:formatCode>
                <c:ptCount val="4"/>
                <c:pt idx="0">
                  <c:v>1217735.72</c:v>
                </c:pt>
                <c:pt idx="1">
                  <c:v>1164839.3799999999</c:v>
                </c:pt>
                <c:pt idx="2">
                  <c:v>1395261.5499999993</c:v>
                </c:pt>
                <c:pt idx="3">
                  <c:v>1449357.5400000005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E-4931-BAD6-D9E31BDAB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134712"/>
        <c:axId val="658133272"/>
      </c:barChart>
      <c:catAx>
        <c:axId val="65813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33272"/>
        <c:crosses val="autoZero"/>
        <c:auto val="1"/>
        <c:lblAlgn val="ctr"/>
        <c:lblOffset val="100"/>
        <c:noMultiLvlLbl val="0"/>
      </c:catAx>
      <c:valAx>
        <c:axId val="658133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13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Q8_Dashboard!$F$9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Q8_Dashboard!$E$10:$E$14</c:f>
              <c:strCache>
                <c:ptCount val="5"/>
                <c:pt idx="0">
                  <c:v>Beverages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</c:strCache>
            </c:strRef>
          </c:cat>
          <c:val>
            <c:numRef>
              <c:f>Q8_Dashboard!$F$10:$F$14</c:f>
              <c:numCache>
                <c:formatCode>"$"#,##0.00</c:formatCode>
                <c:ptCount val="5"/>
                <c:pt idx="0">
                  <c:v>808376.60000000009</c:v>
                </c:pt>
                <c:pt idx="1">
                  <c:v>1068746.21</c:v>
                </c:pt>
                <c:pt idx="2">
                  <c:v>1019697.8500000004</c:v>
                </c:pt>
                <c:pt idx="3">
                  <c:v>1096511.05</c:v>
                </c:pt>
                <c:pt idx="4">
                  <c:v>822686.2799999998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5-4242-B4EC-C44559304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299448"/>
        <c:axId val="971298008"/>
      </c:barChart>
      <c:catAx>
        <c:axId val="97129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98008"/>
        <c:crosses val="autoZero"/>
        <c:auto val="1"/>
        <c:lblAlgn val="ctr"/>
        <c:lblOffset val="100"/>
        <c:noMultiLvlLbl val="0"/>
      </c:catAx>
      <c:valAx>
        <c:axId val="97129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299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Sales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Q8_Dashboard!$J$9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37-4321-B0FE-94940CE343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37-4321-B0FE-94940CE34322}"/>
              </c:ext>
            </c:extLst>
          </c:dPt>
          <c:cat>
            <c:strRef>
              <c:f>Q8_Dashboard!$I$10:$I$11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Q8_Dashboard!$J$10:$J$11</c:f>
              <c:numCache>
                <c:formatCode>"$"#,##0.00</c:formatCode>
                <c:ptCount val="2"/>
                <c:pt idx="0">
                  <c:v>2269419.9100000011</c:v>
                </c:pt>
                <c:pt idx="1">
                  <c:v>2913096.58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6E-4282-8732-310303737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760</xdr:row>
      <xdr:rowOff>19050</xdr:rowOff>
    </xdr:from>
    <xdr:to>
      <xdr:col>1</xdr:col>
      <xdr:colOff>4305300</xdr:colOff>
      <xdr:row>773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329D6E-64B2-4DF9-8C15-11201F467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2</xdr:col>
      <xdr:colOff>1143000</xdr:colOff>
      <xdr:row>30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6D6D39-066C-58E3-FB67-6C114E4C7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6</xdr:col>
      <xdr:colOff>1143000</xdr:colOff>
      <xdr:row>30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E269E-2F97-B08A-49B3-5DADA7883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10</xdr:col>
      <xdr:colOff>1016000</xdr:colOff>
      <xdr:row>30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4AF989-6855-6D07-9312-A04B87D96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C" refreshedDate="46129.069186921297" createdVersion="8" refreshedVersion="8" minRefreshableVersion="3" recordCount="350" xr:uid="{33BA9B7C-44E3-4C97-8A1D-BB3E164A0613}">
  <cacheSource type="worksheet">
    <worksheetSource ref="A1:K351" sheet="Retail_Dataset"/>
  </cacheSource>
  <cacheFields count="11">
    <cacheField name="Order ID" numFmtId="0">
      <sharedItems/>
    </cacheField>
    <cacheField name="Region" numFmtId="0">
      <sharedItems containsBlank="1" count="5">
        <s v="East"/>
        <s v="West"/>
        <s v="North"/>
        <m/>
        <s v="South"/>
      </sharedItems>
    </cacheField>
    <cacheField name="Country" numFmtId="0">
      <sharedItems/>
    </cacheField>
    <cacheField name="Category" numFmtId="0">
      <sharedItems containsBlank="1" count="6">
        <s v="Beverages"/>
        <s v="Food"/>
        <s v="Clothing"/>
        <s v="Furniture"/>
        <s v="Electronics"/>
        <m/>
      </sharedItems>
    </cacheField>
    <cacheField name="Sales Channel" numFmtId="0">
      <sharedItems/>
    </cacheField>
    <cacheField name="Order Priority" numFmtId="0">
      <sharedItems containsBlank="1"/>
    </cacheField>
    <cacheField name="Order Date" numFmtId="164">
      <sharedItems containsSemiMixedTypes="0" containsNonDate="0" containsDate="1" containsString="0" minDate="2023-01-01T00:00:00" maxDate="2023-12-17T00:00:00"/>
    </cacheField>
    <cacheField name="Units Sold" numFmtId="0">
      <sharedItems containsString="0" containsBlank="1" containsNumber="1" containsInteger="1" minValue="11" maxValue="498"/>
    </cacheField>
    <cacheField name="Unit Price" numFmtId="0">
      <sharedItems containsString="0" containsBlank="1" containsNumber="1" minValue="5.61" maxValue="497.76"/>
    </cacheField>
    <cacheField name="Unit Cost" numFmtId="0">
      <sharedItems containsSemiMixedTypes="0" containsString="0" containsNumber="1" minValue="2.13" maxValue="396.98"/>
    </cacheField>
    <cacheField name="Profit" numFmtId="4">
      <sharedItems containsMixedTypes="1" containsNumber="1" minValue="-150825.24" maxValue="224464.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">
  <r>
    <s v="ORD0001"/>
    <x v="0"/>
    <s v="Germany"/>
    <x v="0"/>
    <s v="Online"/>
    <s v="High"/>
    <d v="2023-01-01T00:00:00"/>
    <n v="235"/>
    <n v="152.91999999999999"/>
    <n v="153.6"/>
    <n v="-159.8000000000016"/>
  </r>
  <r>
    <s v="ORD0002"/>
    <x v="1"/>
    <s v="India"/>
    <x v="1"/>
    <s v="Online"/>
    <s v="Low"/>
    <d v="2023-01-02T00:00:00"/>
    <n v="341"/>
    <n v="467.92"/>
    <n v="139.84"/>
    <n v="111875.28000000001"/>
  </r>
  <r>
    <s v="ORD0003"/>
    <x v="2"/>
    <s v="India"/>
    <x v="2"/>
    <s v="Offline"/>
    <s v="High"/>
    <d v="2023-01-03T00:00:00"/>
    <n v="179"/>
    <n v="473.94"/>
    <n v="97.14"/>
    <n v="67447.199999999997"/>
  </r>
  <r>
    <s v="ORD0004"/>
    <x v="0"/>
    <s v="USA"/>
    <x v="3"/>
    <s v="Offline"/>
    <s v="Medium"/>
    <d v="2023-01-04T00:00:00"/>
    <n v="18"/>
    <n v="314.52999999999997"/>
    <n v="204.87"/>
    <n v="1973.8799999999994"/>
  </r>
  <r>
    <s v="ORD0005"/>
    <x v="0"/>
    <s v="India"/>
    <x v="3"/>
    <s v="Offline"/>
    <s v="Medium"/>
    <d v="2023-01-05T00:00:00"/>
    <n v="472"/>
    <n v="392.79"/>
    <n v="330.46"/>
    <n v="29419.76000000002"/>
  </r>
  <r>
    <s v="ORD0006"/>
    <x v="1"/>
    <s v="UK"/>
    <x v="2"/>
    <s v="Online"/>
    <s v="High"/>
    <d v="2023-01-06T00:00:00"/>
    <n v="49"/>
    <n v="308.07"/>
    <n v="113.32"/>
    <n v="9542.75"/>
  </r>
  <r>
    <s v="ORD0007"/>
    <x v="2"/>
    <s v="Germany"/>
    <x v="2"/>
    <s v="Online"/>
    <s v="Low"/>
    <d v="2023-01-07T00:00:00"/>
    <n v="34"/>
    <n v="244.78"/>
    <n v="377.07"/>
    <n v="-4497.8599999999997"/>
  </r>
  <r>
    <s v="ORD0008"/>
    <x v="2"/>
    <s v="India"/>
    <x v="0"/>
    <s v="Online"/>
    <s v="High"/>
    <d v="2023-01-08T00:00:00"/>
    <n v="270"/>
    <n v="332.11"/>
    <n v="349.59"/>
    <n v="-4719.5999999999894"/>
  </r>
  <r>
    <s v="ORD0009"/>
    <x v="0"/>
    <s v="India"/>
    <x v="0"/>
    <s v="Online"/>
    <s v="Low"/>
    <d v="2023-01-09T00:00:00"/>
    <n v="404"/>
    <n v="278.74"/>
    <n v="66.38"/>
    <n v="85793.44"/>
  </r>
  <r>
    <s v="ORD0010"/>
    <x v="3"/>
    <s v="USA"/>
    <x v="3"/>
    <s v="Online"/>
    <s v="Medium"/>
    <d v="2023-01-10T00:00:00"/>
    <n v="452"/>
    <n v="300.75"/>
    <n v="314.94"/>
    <n v="-6413.8799999999992"/>
  </r>
  <r>
    <s v="ORD0011"/>
    <x v="0"/>
    <s v="USA"/>
    <x v="1"/>
    <s v="Online"/>
    <s v="Low"/>
    <d v="2023-01-11T00:00:00"/>
    <n v="235"/>
    <n v="393"/>
    <n v="230.69"/>
    <n v="38142.85"/>
  </r>
  <r>
    <s v="ORD0012"/>
    <x v="0"/>
    <s v="UK"/>
    <x v="3"/>
    <s v="Offline"/>
    <s v="Medium"/>
    <d v="2023-01-12T00:00:00"/>
    <n v="481"/>
    <n v="243.05"/>
    <n v="227.5"/>
    <n v="7479.5500000000056"/>
  </r>
  <r>
    <s v="ORD0013"/>
    <x v="0"/>
    <s v="Germany"/>
    <x v="1"/>
    <s v="Offline"/>
    <s v="Low"/>
    <d v="2023-01-13T00:00:00"/>
    <n v="133"/>
    <n v="25.17"/>
    <n v="157.63999999999999"/>
    <n v="-17618.509999999995"/>
  </r>
  <r>
    <s v="ORD0014"/>
    <x v="0"/>
    <s v="USA"/>
    <x v="1"/>
    <s v="Offline"/>
    <s v="Low"/>
    <d v="2023-01-14T00:00:00"/>
    <n v="472"/>
    <n v="86.18"/>
    <n v="201.46"/>
    <n v="-54412.160000000003"/>
  </r>
  <r>
    <s v="ORD0015"/>
    <x v="1"/>
    <s v="India"/>
    <x v="0"/>
    <s v="Offline"/>
    <s v="Low"/>
    <d v="2023-01-15T00:00:00"/>
    <n v="47"/>
    <n v="222.11"/>
    <n v="160.08000000000001"/>
    <n v="2915.41"/>
  </r>
  <r>
    <s v="ORD0016"/>
    <x v="2"/>
    <s v="Germany"/>
    <x v="4"/>
    <s v="Online"/>
    <s v="High"/>
    <d v="2023-01-16T00:00:00"/>
    <n v="337"/>
    <n v="363.79"/>
    <n v="216.81"/>
    <n v="49532.260000000009"/>
  </r>
  <r>
    <s v="ORD0017"/>
    <x v="1"/>
    <s v="Germany"/>
    <x v="4"/>
    <s v="Online"/>
    <s v="High"/>
    <d v="2023-01-17T00:00:00"/>
    <n v="260"/>
    <n v="298.67"/>
    <n v="251.92"/>
    <n v="12155.000000000007"/>
  </r>
  <r>
    <s v="ORD0018"/>
    <x v="3"/>
    <s v="India"/>
    <x v="2"/>
    <s v="Offline"/>
    <s v="Medium"/>
    <d v="2023-01-18T00:00:00"/>
    <n v="398"/>
    <n v="326.89999999999998"/>
    <n v="270.37"/>
    <n v="22498.939999999988"/>
  </r>
  <r>
    <s v="ORD0019"/>
    <x v="1"/>
    <s v="USA"/>
    <x v="0"/>
    <s v="Online"/>
    <s v="Medium"/>
    <d v="2023-01-19T00:00:00"/>
    <n v="185"/>
    <n v="242.24"/>
    <n v="213.93"/>
    <n v="5237.3500000000004"/>
  </r>
  <r>
    <s v="ORD0020"/>
    <x v="0"/>
    <s v="India"/>
    <x v="1"/>
    <s v="Offline"/>
    <s v="High"/>
    <d v="2023-01-20T00:00:00"/>
    <n v="99"/>
    <n v="309.79000000000002"/>
    <n v="289.13"/>
    <n v="2045.3400000000024"/>
  </r>
  <r>
    <s v="ORD0021"/>
    <x v="4"/>
    <s v="Germany"/>
    <x v="4"/>
    <s v="Offline"/>
    <s v="Medium"/>
    <d v="2023-01-21T00:00:00"/>
    <n v="411"/>
    <n v="167.86"/>
    <n v="58.23"/>
    <n v="45057.930000000008"/>
  </r>
  <r>
    <s v="ORD0022"/>
    <x v="2"/>
    <s v="Australia"/>
    <x v="1"/>
    <s v="Offline"/>
    <s v="High"/>
    <d v="2023-01-22T00:00:00"/>
    <n v="463"/>
    <n v="237.74"/>
    <n v="86.37"/>
    <n v="70084.31"/>
  </r>
  <r>
    <s v="ORD0023"/>
    <x v="4"/>
    <s v="Australia"/>
    <x v="4"/>
    <s v="Online"/>
    <s v="Low"/>
    <d v="2023-01-23T00:00:00"/>
    <n v="46"/>
    <n v="373.42"/>
    <n v="327.86"/>
    <n v="2095.7600000000002"/>
  </r>
  <r>
    <s v="ORD0024"/>
    <x v="1"/>
    <s v="UK"/>
    <x v="4"/>
    <s v="Offline"/>
    <s v="Medium"/>
    <d v="2023-01-24T00:00:00"/>
    <n v="325"/>
    <n v="436.56"/>
    <n v="130.37"/>
    <n v="99511.75"/>
  </r>
  <r>
    <s v="ORD0025"/>
    <x v="1"/>
    <s v="India"/>
    <x v="5"/>
    <s v="Offline"/>
    <s v="Medium"/>
    <d v="2023-01-25T00:00:00"/>
    <n v="185"/>
    <n v="219.66"/>
    <n v="11.11"/>
    <n v="38581.75"/>
  </r>
  <r>
    <s v="ORD0026"/>
    <x v="4"/>
    <s v="India"/>
    <x v="0"/>
    <s v="Offline"/>
    <s v="High"/>
    <d v="2023-01-26T00:00:00"/>
    <n v="470"/>
    <n v="26.61"/>
    <n v="63.21"/>
    <n v="-17202"/>
  </r>
  <r>
    <s v="ORD0027"/>
    <x v="4"/>
    <s v="UK"/>
    <x v="3"/>
    <s v="Online"/>
    <s v="Medium"/>
    <d v="2023-01-27T00:00:00"/>
    <n v="293"/>
    <n v="85.03"/>
    <n v="91"/>
    <n v="-1749.2099999999996"/>
  </r>
  <r>
    <s v="ORD0028"/>
    <x v="4"/>
    <s v="UK"/>
    <x v="1"/>
    <s v="Online"/>
    <s v="Medium"/>
    <d v="2023-01-28T00:00:00"/>
    <n v="462"/>
    <m/>
    <n v="383.01"/>
    <s v=""/>
  </r>
  <r>
    <s v="ORD0029"/>
    <x v="1"/>
    <s v="UK"/>
    <x v="0"/>
    <s v="Offline"/>
    <s v="Low"/>
    <d v="2023-01-29T00:00:00"/>
    <n v="470"/>
    <n v="328.37"/>
    <n v="230.07"/>
    <n v="46201.000000000007"/>
  </r>
  <r>
    <s v="ORD0030"/>
    <x v="1"/>
    <s v="Germany"/>
    <x v="0"/>
    <s v="Online"/>
    <s v="Medium"/>
    <d v="2023-01-30T00:00:00"/>
    <n v="90"/>
    <n v="169.5"/>
    <n v="373.23"/>
    <n v="-18335.7"/>
  </r>
  <r>
    <s v="ORD0031"/>
    <x v="3"/>
    <s v="India"/>
    <x v="0"/>
    <s v="Online"/>
    <s v="Low"/>
    <d v="2023-01-31T00:00:00"/>
    <n v="123"/>
    <n v="273.52999999999997"/>
    <n v="230.92"/>
    <n v="5241.0299999999979"/>
  </r>
  <r>
    <s v="ORD0032"/>
    <x v="2"/>
    <s v="Germany"/>
    <x v="0"/>
    <s v="Online"/>
    <s v="High"/>
    <d v="2023-02-01T00:00:00"/>
    <n v="49"/>
    <n v="249.17"/>
    <n v="192.78"/>
    <n v="2763.1099999999992"/>
  </r>
  <r>
    <s v="ORD0033"/>
    <x v="1"/>
    <s v="UK"/>
    <x v="0"/>
    <s v="Online"/>
    <s v="Medium"/>
    <d v="2023-02-02T00:00:00"/>
    <n v="310"/>
    <n v="45.36"/>
    <n v="126.86"/>
    <n v="-25265"/>
  </r>
  <r>
    <s v="ORD0034"/>
    <x v="4"/>
    <s v="India"/>
    <x v="2"/>
    <s v="Online"/>
    <s v="Low"/>
    <d v="2023-02-03T00:00:00"/>
    <n v="233"/>
    <n v="204.61"/>
    <n v="243.34"/>
    <n v="-9024.0899999999983"/>
  </r>
  <r>
    <s v="ORD0035"/>
    <x v="4"/>
    <s v="Germany"/>
    <x v="1"/>
    <s v="Online"/>
    <s v="High"/>
    <d v="2023-02-04T00:00:00"/>
    <n v="327"/>
    <n v="114.18"/>
    <n v="57.4"/>
    <n v="18567.060000000001"/>
  </r>
  <r>
    <s v="ORD0036"/>
    <x v="2"/>
    <s v="Germany"/>
    <x v="0"/>
    <s v="Online"/>
    <s v="Medium"/>
    <d v="2023-02-05T00:00:00"/>
    <n v="358"/>
    <n v="212.11"/>
    <n v="359.51"/>
    <n v="-52769.19999999999"/>
  </r>
  <r>
    <s v="ORD0037"/>
    <x v="1"/>
    <s v="UK"/>
    <x v="1"/>
    <s v="Online"/>
    <s v="High"/>
    <d v="2023-02-06T00:00:00"/>
    <n v="124"/>
    <m/>
    <n v="332.07"/>
    <s v=""/>
  </r>
  <r>
    <s v="ORD0038"/>
    <x v="2"/>
    <s v="India"/>
    <x v="2"/>
    <s v="Online"/>
    <s v="Medium"/>
    <d v="2023-02-07T00:00:00"/>
    <n v="195"/>
    <n v="421.02"/>
    <n v="128.38"/>
    <n v="57064.799999999996"/>
  </r>
  <r>
    <s v="ORD0039"/>
    <x v="2"/>
    <s v="UK"/>
    <x v="2"/>
    <s v="Online"/>
    <s v="High"/>
    <d v="2023-02-08T00:00:00"/>
    <m/>
    <n v="91.23"/>
    <n v="381.21"/>
    <s v=""/>
  </r>
  <r>
    <s v="ORD0040"/>
    <x v="0"/>
    <s v="India"/>
    <x v="1"/>
    <s v="Offline"/>
    <s v="High"/>
    <d v="2023-02-09T00:00:00"/>
    <n v="65"/>
    <n v="480.59"/>
    <n v="330.43"/>
    <n v="9760.3999999999978"/>
  </r>
  <r>
    <s v="ORD0041"/>
    <x v="0"/>
    <s v="Australia"/>
    <x v="4"/>
    <s v="Offline"/>
    <s v="Low"/>
    <d v="2023-02-10T00:00:00"/>
    <n v="49"/>
    <n v="210.87"/>
    <n v="267.19"/>
    <n v="-2759.68"/>
  </r>
  <r>
    <s v="ORD0042"/>
    <x v="0"/>
    <s v="USA"/>
    <x v="3"/>
    <s v="Online"/>
    <s v="High"/>
    <d v="2023-02-11T00:00:00"/>
    <n v="363"/>
    <n v="423.89"/>
    <n v="50.46"/>
    <n v="135555.09"/>
  </r>
  <r>
    <s v="ORD0043"/>
    <x v="4"/>
    <s v="USA"/>
    <x v="4"/>
    <s v="Offline"/>
    <s v="Medium"/>
    <d v="2023-02-12T00:00:00"/>
    <n v="49"/>
    <n v="316.24"/>
    <n v="192.34"/>
    <n v="6071.1"/>
  </r>
  <r>
    <s v="ORD0044"/>
    <x v="1"/>
    <s v="USA"/>
    <x v="4"/>
    <s v="Offline"/>
    <s v="Medium"/>
    <d v="2023-02-13T00:00:00"/>
    <n v="356"/>
    <n v="369"/>
    <n v="203.43"/>
    <n v="58942.92"/>
  </r>
  <r>
    <s v="ORD0045"/>
    <x v="1"/>
    <s v="UK"/>
    <x v="4"/>
    <s v="Online"/>
    <s v="Low"/>
    <d v="2023-02-14T00:00:00"/>
    <n v="470"/>
    <m/>
    <n v="94.56"/>
    <s v=""/>
  </r>
  <r>
    <s v="ORD0046"/>
    <x v="1"/>
    <s v="Australia"/>
    <x v="0"/>
    <s v="Online"/>
    <s v="Medium"/>
    <d v="2023-02-15T00:00:00"/>
    <n v="246"/>
    <n v="254.9"/>
    <n v="33.83"/>
    <n v="54383.22"/>
  </r>
  <r>
    <s v="ORD0047"/>
    <x v="1"/>
    <s v="India"/>
    <x v="2"/>
    <s v="Online"/>
    <s v="Medium"/>
    <d v="2023-02-16T00:00:00"/>
    <n v="298"/>
    <n v="273.93"/>
    <n v="311.14"/>
    <n v="-11088.579999999994"/>
  </r>
  <r>
    <s v="ORD0048"/>
    <x v="0"/>
    <s v="Germany"/>
    <x v="4"/>
    <s v="Offline"/>
    <s v="Medium"/>
    <d v="2023-02-17T00:00:00"/>
    <n v="271"/>
    <n v="259.43"/>
    <n v="50.57"/>
    <n v="56601.060000000005"/>
  </r>
  <r>
    <s v="ORD0049"/>
    <x v="4"/>
    <s v="India"/>
    <x v="2"/>
    <s v="Offline"/>
    <s v="High"/>
    <d v="2023-02-18T00:00:00"/>
    <n v="225"/>
    <n v="296.08999999999997"/>
    <n v="238.53"/>
    <n v="12950.999999999995"/>
  </r>
  <r>
    <s v="ORD0050"/>
    <x v="3"/>
    <s v="Germany"/>
    <x v="1"/>
    <s v="Online"/>
    <s v="High"/>
    <d v="2023-02-19T00:00:00"/>
    <n v="156"/>
    <n v="19.55"/>
    <n v="374.71"/>
    <n v="-55404.959999999992"/>
  </r>
  <r>
    <s v="ORD0051"/>
    <x v="0"/>
    <s v="India"/>
    <x v="3"/>
    <s v="Online"/>
    <s v="Medium"/>
    <d v="2023-02-20T00:00:00"/>
    <n v="345"/>
    <n v="200.78"/>
    <n v="350.69"/>
    <n v="-51718.95"/>
  </r>
  <r>
    <s v="ORD0052"/>
    <x v="4"/>
    <s v="Australia"/>
    <x v="1"/>
    <s v="Online"/>
    <s v="Low"/>
    <d v="2023-02-21T00:00:00"/>
    <n v="177"/>
    <n v="305.06"/>
    <n v="112.55"/>
    <n v="34074.269999999997"/>
  </r>
  <r>
    <s v="ORD0053"/>
    <x v="0"/>
    <s v="Germany"/>
    <x v="1"/>
    <s v="Offline"/>
    <s v="High"/>
    <d v="2023-02-22T00:00:00"/>
    <n v="101"/>
    <n v="300.87"/>
    <n v="340.88"/>
    <n v="-4041.0099999999993"/>
  </r>
  <r>
    <s v="ORD0054"/>
    <x v="1"/>
    <s v="UK"/>
    <x v="0"/>
    <s v="Offline"/>
    <s v="Low"/>
    <d v="2023-02-23T00:00:00"/>
    <n v="362"/>
    <n v="397.51"/>
    <n v="2.13"/>
    <n v="143127.56"/>
  </r>
  <r>
    <s v="ORD0055"/>
    <x v="0"/>
    <s v="India"/>
    <x v="3"/>
    <s v="Offline"/>
    <s v="Medium"/>
    <d v="2023-02-24T00:00:00"/>
    <n v="68"/>
    <n v="329.23"/>
    <n v="9.0399999999999991"/>
    <n v="21772.92"/>
  </r>
  <r>
    <s v="ORD0056"/>
    <x v="1"/>
    <s v="India"/>
    <x v="1"/>
    <s v="Offline"/>
    <s v="Medium"/>
    <d v="2023-02-25T00:00:00"/>
    <n v="68"/>
    <n v="496.11"/>
    <n v="241.82"/>
    <n v="17291.72"/>
  </r>
  <r>
    <s v="ORD0057"/>
    <x v="1"/>
    <s v="Germany"/>
    <x v="1"/>
    <s v="Online"/>
    <s v="High"/>
    <d v="2023-02-26T00:00:00"/>
    <n v="313"/>
    <n v="145.51"/>
    <n v="147.19"/>
    <n v="-525.84000000000219"/>
  </r>
  <r>
    <s v="ORD0058"/>
    <x v="2"/>
    <s v="UK"/>
    <x v="3"/>
    <s v="Online"/>
    <s v="Medium"/>
    <d v="2023-02-27T00:00:00"/>
    <n v="178"/>
    <n v="182.78"/>
    <n v="155.81"/>
    <n v="4800.66"/>
  </r>
  <r>
    <s v="ORD0059"/>
    <x v="0"/>
    <s v="UK"/>
    <x v="3"/>
    <s v="Online"/>
    <s v="High"/>
    <d v="2023-02-28T00:00:00"/>
    <n v="278"/>
    <n v="195"/>
    <n v="226.65"/>
    <n v="-8798.7000000000007"/>
  </r>
  <r>
    <s v="ORD0060"/>
    <x v="2"/>
    <s v="Australia"/>
    <x v="1"/>
    <s v="Online"/>
    <s v="Medium"/>
    <d v="2023-03-01T00:00:00"/>
    <n v="372"/>
    <n v="235.58"/>
    <n v="78.33"/>
    <n v="58497"/>
  </r>
  <r>
    <s v="ORD0061"/>
    <x v="0"/>
    <s v="UK"/>
    <x v="3"/>
    <s v="Offline"/>
    <s v="Medium"/>
    <d v="2023-03-02T00:00:00"/>
    <n v="54"/>
    <n v="418.82"/>
    <n v="86.28"/>
    <n v="17957.159999999996"/>
  </r>
  <r>
    <s v="ORD0062"/>
    <x v="0"/>
    <s v="UK"/>
    <x v="1"/>
    <s v="Offline"/>
    <s v="High"/>
    <d v="2023-03-03T00:00:00"/>
    <n v="354"/>
    <n v="121.72"/>
    <n v="194.87"/>
    <n v="-25895.100000000002"/>
  </r>
  <r>
    <s v="ORD0063"/>
    <x v="2"/>
    <s v="UK"/>
    <x v="1"/>
    <s v="Online"/>
    <s v="High"/>
    <d v="2023-03-04T00:00:00"/>
    <n v="190"/>
    <n v="389.12"/>
    <n v="302.19"/>
    <n v="16516.7"/>
  </r>
  <r>
    <s v="ORD0064"/>
    <x v="3"/>
    <s v="USA"/>
    <x v="0"/>
    <s v="Online"/>
    <s v="High"/>
    <d v="2023-03-05T00:00:00"/>
    <n v="179"/>
    <n v="205.63"/>
    <n v="248.56"/>
    <n v="-7684.4700000000012"/>
  </r>
  <r>
    <s v="ORD0065"/>
    <x v="0"/>
    <s v="Australia"/>
    <x v="4"/>
    <s v="Offline"/>
    <s v="Medium"/>
    <d v="2023-03-06T00:00:00"/>
    <n v="365"/>
    <n v="302.92"/>
    <n v="120.35"/>
    <n v="66638.05"/>
  </r>
  <r>
    <s v="ORD0066"/>
    <x v="4"/>
    <s v="India"/>
    <x v="1"/>
    <s v="Online"/>
    <s v="Medium"/>
    <d v="2023-03-07T00:00:00"/>
    <n v="200"/>
    <n v="318.11"/>
    <n v="173.27"/>
    <n v="28968"/>
  </r>
  <r>
    <s v="ORD0067"/>
    <x v="1"/>
    <s v="Germany"/>
    <x v="2"/>
    <s v="Offline"/>
    <s v="Low"/>
    <d v="2023-03-08T00:00:00"/>
    <n v="164"/>
    <n v="189.56"/>
    <n v="69.92"/>
    <n v="19620.96"/>
  </r>
  <r>
    <s v="ORD0068"/>
    <x v="2"/>
    <s v="India"/>
    <x v="4"/>
    <s v="Online"/>
    <s v="High"/>
    <d v="2023-03-09T00:00:00"/>
    <n v="431"/>
    <n v="258.74"/>
    <n v="31.7"/>
    <n v="97854.24"/>
  </r>
  <r>
    <s v="ORD0069"/>
    <x v="1"/>
    <s v="Australia"/>
    <x v="4"/>
    <s v="Online"/>
    <s v="Medium"/>
    <d v="2023-03-10T00:00:00"/>
    <n v="197"/>
    <n v="209.45"/>
    <n v="313.51"/>
    <n v="-20499.82"/>
  </r>
  <r>
    <s v="ORD0070"/>
    <x v="4"/>
    <s v="Germany"/>
    <x v="4"/>
    <s v="Online"/>
    <s v="Medium"/>
    <d v="2023-03-11T00:00:00"/>
    <n v="16"/>
    <n v="39.22"/>
    <n v="107.62"/>
    <n v="-1094.4000000000001"/>
  </r>
  <r>
    <s v="ORD0071"/>
    <x v="4"/>
    <s v="Australia"/>
    <x v="0"/>
    <s v="Online"/>
    <s v="High"/>
    <d v="2023-03-12T00:00:00"/>
    <n v="142"/>
    <n v="221.4"/>
    <n v="72.75"/>
    <n v="21108.3"/>
  </r>
  <r>
    <s v="ORD0072"/>
    <x v="4"/>
    <s v="UK"/>
    <x v="1"/>
    <s v="Online"/>
    <s v="Low"/>
    <d v="2023-03-13T00:00:00"/>
    <n v="244"/>
    <n v="53.21"/>
    <n v="277.26"/>
    <n v="-54668.2"/>
  </r>
  <r>
    <s v="ORD0073"/>
    <x v="2"/>
    <s v="Germany"/>
    <x v="0"/>
    <s v="Online"/>
    <s v="High"/>
    <d v="2023-03-14T00:00:00"/>
    <n v="54"/>
    <n v="205.49"/>
    <n v="247.98"/>
    <n v="-2294.4599999999991"/>
  </r>
  <r>
    <s v="ORD0074"/>
    <x v="4"/>
    <s v="UK"/>
    <x v="1"/>
    <s v="Online"/>
    <s v="Low"/>
    <d v="2023-03-15T00:00:00"/>
    <n v="323"/>
    <n v="298.49"/>
    <n v="254.01"/>
    <n v="14367.040000000006"/>
  </r>
  <r>
    <s v="ORD0075"/>
    <x v="2"/>
    <s v="India"/>
    <x v="0"/>
    <s v="Offline"/>
    <s v="Medium"/>
    <d v="2023-03-16T00:00:00"/>
    <n v="258"/>
    <n v="291.81"/>
    <n v="93.1"/>
    <n v="51267.18"/>
  </r>
  <r>
    <s v="ORD0076"/>
    <x v="4"/>
    <s v="India"/>
    <x v="0"/>
    <s v="Offline"/>
    <s v="Low"/>
    <d v="2023-03-17T00:00:00"/>
    <n v="40"/>
    <n v="333"/>
    <n v="94.59"/>
    <n v="9536.4"/>
  </r>
  <r>
    <s v="ORD0077"/>
    <x v="1"/>
    <s v="Germany"/>
    <x v="2"/>
    <s v="Offline"/>
    <s v="Medium"/>
    <d v="2023-03-18T00:00:00"/>
    <n v="32"/>
    <n v="52.15"/>
    <n v="89.88"/>
    <n v="-1207.3599999999999"/>
  </r>
  <r>
    <s v="ORD0078"/>
    <x v="1"/>
    <s v="Germany"/>
    <x v="0"/>
    <s v="Offline"/>
    <s v="High"/>
    <d v="2023-03-19T00:00:00"/>
    <n v="435"/>
    <n v="327.8"/>
    <n v="71.150000000000006"/>
    <n v="111642.74999999999"/>
  </r>
  <r>
    <s v="ORD0079"/>
    <x v="0"/>
    <s v="Australia"/>
    <x v="3"/>
    <s v="Offline"/>
    <s v="High"/>
    <d v="2023-03-20T00:00:00"/>
    <n v="403"/>
    <n v="159.51"/>
    <n v="262.98"/>
    <n v="-41698.410000000011"/>
  </r>
  <r>
    <s v="ORD0080"/>
    <x v="1"/>
    <s v="Australia"/>
    <x v="2"/>
    <s v="Online"/>
    <s v="High"/>
    <d v="2023-03-21T00:00:00"/>
    <n v="169"/>
    <m/>
    <n v="339.51"/>
    <s v=""/>
  </r>
  <r>
    <s v="ORD0081"/>
    <x v="0"/>
    <s v="UK"/>
    <x v="0"/>
    <s v="Online"/>
    <s v="Low"/>
    <d v="2023-03-22T00:00:00"/>
    <n v="372"/>
    <n v="429.7"/>
    <n v="290.27999999999997"/>
    <n v="51864.240000000005"/>
  </r>
  <r>
    <s v="ORD0082"/>
    <x v="1"/>
    <s v="Germany"/>
    <x v="4"/>
    <s v="Offline"/>
    <s v="Medium"/>
    <d v="2023-03-23T00:00:00"/>
    <n v="446"/>
    <n v="9.4700000000000006"/>
    <n v="317.25"/>
    <n v="-137269.87999999998"/>
  </r>
  <r>
    <s v="ORD0083"/>
    <x v="2"/>
    <s v="India"/>
    <x v="3"/>
    <s v="Online"/>
    <s v="High"/>
    <d v="2023-03-24T00:00:00"/>
    <n v="167"/>
    <n v="296.26"/>
    <n v="163.11000000000001"/>
    <n v="22236.049999999996"/>
  </r>
  <r>
    <s v="ORD0084"/>
    <x v="1"/>
    <s v="Australia"/>
    <x v="3"/>
    <s v="Offline"/>
    <s v="High"/>
    <d v="2023-03-25T00:00:00"/>
    <n v="48"/>
    <n v="301.36"/>
    <n v="262.32"/>
    <n v="1873.920000000001"/>
  </r>
  <r>
    <s v="ORD0085"/>
    <x v="0"/>
    <s v="Australia"/>
    <x v="3"/>
    <s v="Offline"/>
    <s v="Medium"/>
    <d v="2023-03-26T00:00:00"/>
    <n v="424"/>
    <n v="201.35"/>
    <n v="142.99"/>
    <n v="24744.639999999992"/>
  </r>
  <r>
    <s v="ORD0086"/>
    <x v="0"/>
    <s v="India"/>
    <x v="2"/>
    <s v="Online"/>
    <s v="High"/>
    <d v="2023-03-27T00:00:00"/>
    <n v="91"/>
    <n v="122.33"/>
    <n v="211.15"/>
    <n v="-8082.6200000000008"/>
  </r>
  <r>
    <s v="ORD0087"/>
    <x v="4"/>
    <s v="Australia"/>
    <x v="0"/>
    <s v="Online"/>
    <s v="Medium"/>
    <d v="2023-03-28T00:00:00"/>
    <n v="365"/>
    <n v="121.16"/>
    <n v="193.69"/>
    <n v="-26473.45"/>
  </r>
  <r>
    <s v="ORD0088"/>
    <x v="2"/>
    <s v="UK"/>
    <x v="0"/>
    <s v="Online"/>
    <s v="Medium"/>
    <d v="2023-03-29T00:00:00"/>
    <n v="267"/>
    <n v="442.44"/>
    <n v="72.400000000000006"/>
    <n v="98800.68"/>
  </r>
  <r>
    <s v="ORD0089"/>
    <x v="1"/>
    <s v="Germany"/>
    <x v="4"/>
    <s v="Offline"/>
    <s v="Medium"/>
    <d v="2023-03-30T00:00:00"/>
    <n v="215"/>
    <n v="223.8"/>
    <n v="156.06"/>
    <n v="14564.100000000002"/>
  </r>
  <r>
    <s v="ORD0090"/>
    <x v="4"/>
    <s v="India"/>
    <x v="4"/>
    <s v="Online"/>
    <s v="Medium"/>
    <d v="2023-03-31T00:00:00"/>
    <n v="86"/>
    <n v="168.79"/>
    <n v="385.6"/>
    <n v="-18645.660000000003"/>
  </r>
  <r>
    <s v="ORD0091"/>
    <x v="1"/>
    <s v="Germany"/>
    <x v="3"/>
    <s v="Offline"/>
    <s v="Medium"/>
    <d v="2023-04-01T00:00:00"/>
    <n v="486"/>
    <n v="227.14"/>
    <n v="100.93"/>
    <n v="61338.05999999999"/>
  </r>
  <r>
    <s v="ORD0092"/>
    <x v="1"/>
    <s v="Australia"/>
    <x v="4"/>
    <s v="Offline"/>
    <s v="Low"/>
    <d v="2023-04-02T00:00:00"/>
    <n v="21"/>
    <m/>
    <n v="55.25"/>
    <s v=""/>
  </r>
  <r>
    <s v="ORD0093"/>
    <x v="4"/>
    <s v="Australia"/>
    <x v="2"/>
    <s v="Offline"/>
    <s v="High"/>
    <d v="2023-04-03T00:00:00"/>
    <n v="304"/>
    <n v="77.150000000000006"/>
    <n v="168.6"/>
    <n v="-27800.799999999996"/>
  </r>
  <r>
    <s v="ORD0094"/>
    <x v="4"/>
    <s v="India"/>
    <x v="0"/>
    <s v="Online"/>
    <s v="Low"/>
    <d v="2023-04-04T00:00:00"/>
    <n v="459"/>
    <n v="227.47"/>
    <n v="316.55"/>
    <n v="-40887.720000000008"/>
  </r>
  <r>
    <s v="ORD0095"/>
    <x v="4"/>
    <s v="UK"/>
    <x v="3"/>
    <s v="Online"/>
    <s v="High"/>
    <d v="2023-04-05T00:00:00"/>
    <n v="233"/>
    <n v="296"/>
    <n v="233.69"/>
    <n v="14518.230000000001"/>
  </r>
  <r>
    <s v="ORD0096"/>
    <x v="4"/>
    <s v="USA"/>
    <x v="4"/>
    <s v="Offline"/>
    <s v="Low"/>
    <d v="2023-04-06T00:00:00"/>
    <n v="22"/>
    <n v="474.55"/>
    <n v="273.02999999999997"/>
    <n v="4433.4400000000005"/>
  </r>
  <r>
    <s v="ORD0097"/>
    <x v="4"/>
    <s v="India"/>
    <x v="2"/>
    <s v="Online"/>
    <s v="Medium"/>
    <d v="2023-04-07T00:00:00"/>
    <n v="55"/>
    <n v="130"/>
    <n v="77.5"/>
    <n v="2887.5"/>
  </r>
  <r>
    <s v="ORD0098"/>
    <x v="1"/>
    <s v="USA"/>
    <x v="2"/>
    <s v="Online"/>
    <s v="High"/>
    <d v="2023-04-08T00:00:00"/>
    <n v="164"/>
    <n v="182.83"/>
    <n v="248.34"/>
    <n v="-10743.64"/>
  </r>
  <r>
    <s v="ORD0099"/>
    <x v="4"/>
    <s v="USA"/>
    <x v="4"/>
    <s v="Online"/>
    <s v="High"/>
    <d v="2023-04-09T00:00:00"/>
    <n v="122"/>
    <n v="192.78"/>
    <n v="130.75"/>
    <n v="7567.66"/>
  </r>
  <r>
    <s v="ORD0100"/>
    <x v="2"/>
    <s v="UK"/>
    <x v="0"/>
    <s v="Offline"/>
    <s v="Low"/>
    <d v="2023-04-10T00:00:00"/>
    <n v="242"/>
    <n v="304.74"/>
    <n v="334.05"/>
    <n v="-7093.02"/>
  </r>
  <r>
    <s v="ORD0101"/>
    <x v="0"/>
    <s v="USA"/>
    <x v="4"/>
    <s v="Offline"/>
    <s v="Low"/>
    <d v="2023-04-11T00:00:00"/>
    <n v="26"/>
    <n v="181.58"/>
    <n v="252.46"/>
    <n v="-1842.8799999999999"/>
  </r>
  <r>
    <s v="ORD0102"/>
    <x v="4"/>
    <s v="USA"/>
    <x v="3"/>
    <s v="Online"/>
    <s v="High"/>
    <d v="2023-04-12T00:00:00"/>
    <n v="369"/>
    <n v="269.08999999999997"/>
    <n v="81.14"/>
    <n v="69353.55"/>
  </r>
  <r>
    <s v="ORD0103"/>
    <x v="4"/>
    <s v="UK"/>
    <x v="4"/>
    <s v="Offline"/>
    <s v="Low"/>
    <d v="2023-04-13T00:00:00"/>
    <n v="232"/>
    <n v="391.99"/>
    <n v="27.72"/>
    <n v="84510.64"/>
  </r>
  <r>
    <s v="ORD0104"/>
    <x v="1"/>
    <s v="USA"/>
    <x v="2"/>
    <s v="Online"/>
    <s v="Low"/>
    <d v="2023-04-14T00:00:00"/>
    <n v="363"/>
    <n v="354.17"/>
    <n v="18.97"/>
    <n v="121677.60000000002"/>
  </r>
  <r>
    <s v="ORD0105"/>
    <x v="4"/>
    <s v="USA"/>
    <x v="4"/>
    <s v="Online"/>
    <s v="Low"/>
    <d v="2023-04-15T00:00:00"/>
    <n v="197"/>
    <n v="225.95"/>
    <n v="149.82"/>
    <n v="14997.609999999999"/>
  </r>
  <r>
    <s v="ORD0106"/>
    <x v="4"/>
    <s v="USA"/>
    <x v="0"/>
    <s v="Online"/>
    <s v="Medium"/>
    <d v="2023-04-16T00:00:00"/>
    <n v="457"/>
    <n v="432.79"/>
    <n v="107.81"/>
    <n v="148515.86000000002"/>
  </r>
  <r>
    <s v="ORD0107"/>
    <x v="4"/>
    <s v="India"/>
    <x v="1"/>
    <s v="Online"/>
    <s v="Medium"/>
    <d v="2023-04-17T00:00:00"/>
    <n v="353"/>
    <n v="281.27999999999997"/>
    <n v="259.14"/>
    <n v="7815.4199999999955"/>
  </r>
  <r>
    <s v="ORD0108"/>
    <x v="1"/>
    <s v="India"/>
    <x v="4"/>
    <s v="Offline"/>
    <s v="Low"/>
    <d v="2023-04-18T00:00:00"/>
    <n v="374"/>
    <n v="272.25"/>
    <n v="200.73"/>
    <n v="26748.480000000003"/>
  </r>
  <r>
    <s v="ORD0109"/>
    <x v="4"/>
    <s v="India"/>
    <x v="0"/>
    <s v="Offline"/>
    <s v="Low"/>
    <d v="2023-04-19T00:00:00"/>
    <n v="172"/>
    <n v="21.92"/>
    <n v="107.88"/>
    <n v="-14785.119999999999"/>
  </r>
  <r>
    <s v="ORD0110"/>
    <x v="0"/>
    <s v="UK"/>
    <x v="0"/>
    <s v="Offline"/>
    <s v="Medium"/>
    <d v="2023-04-20T00:00:00"/>
    <n v="335"/>
    <n v="493.41"/>
    <n v="61.4"/>
    <n v="144723.35"/>
  </r>
  <r>
    <s v="ORD0111"/>
    <x v="1"/>
    <s v="Australia"/>
    <x v="2"/>
    <s v="Online"/>
    <s v="Medium"/>
    <d v="2023-04-21T00:00:00"/>
    <n v="476"/>
    <n v="65.87"/>
    <n v="52.63"/>
    <n v="6302.2400000000007"/>
  </r>
  <r>
    <s v="ORD0112"/>
    <x v="0"/>
    <s v="USA"/>
    <x v="0"/>
    <s v="Online"/>
    <s v="High"/>
    <d v="2023-04-22T00:00:00"/>
    <n v="423"/>
    <n v="119.41"/>
    <n v="346.13"/>
    <n v="-95902.56"/>
  </r>
  <r>
    <s v="ORD0113"/>
    <x v="1"/>
    <s v="USA"/>
    <x v="0"/>
    <s v="Online"/>
    <s v="High"/>
    <d v="2023-04-23T00:00:00"/>
    <n v="464"/>
    <n v="30.59"/>
    <n v="98.9"/>
    <n v="-31695.84"/>
  </r>
  <r>
    <s v="ORD0114"/>
    <x v="4"/>
    <s v="UK"/>
    <x v="0"/>
    <s v="Offline"/>
    <s v="Medium"/>
    <d v="2023-04-24T00:00:00"/>
    <n v="83"/>
    <n v="321.8"/>
    <n v="261.38"/>
    <n v="5014.8600000000015"/>
  </r>
  <r>
    <s v="ORD0115"/>
    <x v="0"/>
    <s v="USA"/>
    <x v="0"/>
    <s v="Online"/>
    <s v="Low"/>
    <d v="2023-04-25T00:00:00"/>
    <n v="242"/>
    <n v="116.23"/>
    <n v="324.64999999999998"/>
    <n v="-50437.639999999992"/>
  </r>
  <r>
    <s v="ORD0116"/>
    <x v="1"/>
    <s v="India"/>
    <x v="3"/>
    <s v="Offline"/>
    <s v="Low"/>
    <d v="2023-04-26T00:00:00"/>
    <n v="233"/>
    <n v="94.11"/>
    <n v="246.4"/>
    <n v="-35483.570000000007"/>
  </r>
  <r>
    <s v="ORD0117"/>
    <x v="2"/>
    <s v="Australia"/>
    <x v="3"/>
    <s v="Offline"/>
    <s v="Low"/>
    <d v="2023-04-27T00:00:00"/>
    <n v="491"/>
    <n v="48.84"/>
    <n v="344.11"/>
    <n v="-144977.56999999998"/>
  </r>
  <r>
    <s v="ORD0118"/>
    <x v="3"/>
    <s v="Germany"/>
    <x v="2"/>
    <s v="Offline"/>
    <s v="Low"/>
    <d v="2023-04-28T00:00:00"/>
    <n v="328"/>
    <n v="56.14"/>
    <n v="158.16999999999999"/>
    <n v="-33465.839999999997"/>
  </r>
  <r>
    <s v="ORD0119"/>
    <x v="1"/>
    <s v="USA"/>
    <x v="4"/>
    <s v="Offline"/>
    <s v="High"/>
    <d v="2023-04-29T00:00:00"/>
    <n v="421"/>
    <n v="294.41000000000003"/>
    <n v="382.58"/>
    <n v="-37119.569999999985"/>
  </r>
  <r>
    <s v="ORD0120"/>
    <x v="2"/>
    <s v="India"/>
    <x v="0"/>
    <s v="Offline"/>
    <s v="Medium"/>
    <d v="2023-04-30T00:00:00"/>
    <n v="69"/>
    <n v="345.66"/>
    <n v="54.99"/>
    <n v="20056.23"/>
  </r>
  <r>
    <s v="ORD0121"/>
    <x v="1"/>
    <s v="Germany"/>
    <x v="4"/>
    <s v="Offline"/>
    <s v="Low"/>
    <d v="2023-05-01T00:00:00"/>
    <n v="344"/>
    <n v="201.7"/>
    <n v="42.66"/>
    <n v="54709.759999999995"/>
  </r>
  <r>
    <s v="ORD0122"/>
    <x v="3"/>
    <s v="Australia"/>
    <x v="4"/>
    <s v="Online"/>
    <s v="High"/>
    <d v="2023-05-02T00:00:00"/>
    <n v="231"/>
    <n v="242.55"/>
    <n v="264.16000000000003"/>
    <n v="-4991.9100000000035"/>
  </r>
  <r>
    <s v="ORD0123"/>
    <x v="4"/>
    <s v="Germany"/>
    <x v="2"/>
    <s v="Online"/>
    <s v="Low"/>
    <d v="2023-05-03T00:00:00"/>
    <n v="46"/>
    <n v="344.55"/>
    <n v="377.25"/>
    <n v="-1504.1999999999994"/>
  </r>
  <r>
    <s v="ORD0124"/>
    <x v="0"/>
    <s v="India"/>
    <x v="0"/>
    <s v="Offline"/>
    <s v="Medium"/>
    <d v="2023-05-04T00:00:00"/>
    <n v="486"/>
    <n v="13.6"/>
    <n v="323.94"/>
    <n v="-150825.24"/>
  </r>
  <r>
    <s v="ORD0125"/>
    <x v="2"/>
    <s v="Germany"/>
    <x v="0"/>
    <s v="Offline"/>
    <s v="High"/>
    <d v="2023-05-05T00:00:00"/>
    <n v="287"/>
    <n v="164.95"/>
    <n v="32.409999999999997"/>
    <n v="38038.979999999996"/>
  </r>
  <r>
    <s v="ORD0126"/>
    <x v="1"/>
    <s v="UK"/>
    <x v="1"/>
    <s v="Online"/>
    <s v="Medium"/>
    <d v="2023-05-06T00:00:00"/>
    <n v="205"/>
    <n v="486.68"/>
    <n v="113.19"/>
    <n v="76565.45"/>
  </r>
  <r>
    <s v="ORD0127"/>
    <x v="4"/>
    <s v="Germany"/>
    <x v="4"/>
    <s v="Offline"/>
    <s v="Medium"/>
    <d v="2023-05-07T00:00:00"/>
    <n v="413"/>
    <n v="292.16000000000003"/>
    <n v="372.27"/>
    <n v="-33085.429999999986"/>
  </r>
  <r>
    <s v="ORD0128"/>
    <x v="2"/>
    <s v="USA"/>
    <x v="4"/>
    <s v="Offline"/>
    <s v="High"/>
    <d v="2023-05-08T00:00:00"/>
    <n v="361"/>
    <n v="130.84"/>
    <n v="102.72"/>
    <n v="10151.320000000002"/>
  </r>
  <r>
    <s v="ORD0129"/>
    <x v="1"/>
    <s v="USA"/>
    <x v="3"/>
    <s v="Online"/>
    <s v="High"/>
    <d v="2023-05-09T00:00:00"/>
    <n v="493"/>
    <n v="263.26"/>
    <n v="312.91000000000003"/>
    <n v="-24477.450000000015"/>
  </r>
  <r>
    <s v="ORD0130"/>
    <x v="1"/>
    <s v="UK"/>
    <x v="1"/>
    <s v="Offline"/>
    <s v="High"/>
    <d v="2023-05-10T00:00:00"/>
    <n v="251"/>
    <n v="174.61"/>
    <n v="330.4"/>
    <n v="-39103.289999999994"/>
  </r>
  <r>
    <s v="ORD0131"/>
    <x v="1"/>
    <s v="India"/>
    <x v="3"/>
    <s v="Offline"/>
    <s v="High"/>
    <d v="2023-05-11T00:00:00"/>
    <m/>
    <n v="268.45999999999998"/>
    <n v="199.19"/>
    <s v=""/>
  </r>
  <r>
    <s v="ORD0132"/>
    <x v="2"/>
    <s v="USA"/>
    <x v="3"/>
    <s v="Offline"/>
    <s v="High"/>
    <d v="2023-05-12T00:00:00"/>
    <n v="228"/>
    <n v="67.239999999999995"/>
    <n v="155.77000000000001"/>
    <n v="-20184.840000000004"/>
  </r>
  <r>
    <s v="ORD0133"/>
    <x v="2"/>
    <s v="Australia"/>
    <x v="3"/>
    <s v="Online"/>
    <s v="High"/>
    <d v="2023-05-13T00:00:00"/>
    <n v="201"/>
    <n v="70.69"/>
    <n v="181.15"/>
    <n v="-22202.460000000003"/>
  </r>
  <r>
    <s v="ORD0134"/>
    <x v="2"/>
    <s v="USA"/>
    <x v="2"/>
    <s v="Online"/>
    <s v="High"/>
    <d v="2023-05-14T00:00:00"/>
    <n v="26"/>
    <n v="76.05"/>
    <n v="92.33"/>
    <n v="-423.28000000000003"/>
  </r>
  <r>
    <s v="ORD0135"/>
    <x v="0"/>
    <s v="USA"/>
    <x v="2"/>
    <s v="Online"/>
    <s v="Low"/>
    <d v="2023-05-15T00:00:00"/>
    <n v="21"/>
    <n v="470.21"/>
    <n v="355.98"/>
    <n v="2398.829999999999"/>
  </r>
  <r>
    <s v="ORD0136"/>
    <x v="2"/>
    <s v="India"/>
    <x v="3"/>
    <s v="Offline"/>
    <s v="Medium"/>
    <d v="2023-05-16T00:00:00"/>
    <n v="415"/>
    <n v="367.78"/>
    <n v="181.35"/>
    <n v="77368.45"/>
  </r>
  <r>
    <s v="ORD0137"/>
    <x v="2"/>
    <s v="Germany"/>
    <x v="1"/>
    <s v="Offline"/>
    <s v="High"/>
    <d v="2023-05-17T00:00:00"/>
    <n v="410"/>
    <n v="85.38"/>
    <n v="353.22"/>
    <n v="-109814.40000000001"/>
  </r>
  <r>
    <s v="ORD0138"/>
    <x v="2"/>
    <s v="USA"/>
    <x v="4"/>
    <s v="Online"/>
    <s v="Low"/>
    <d v="2023-05-18T00:00:00"/>
    <n v="403"/>
    <n v="98.23"/>
    <n v="44.07"/>
    <n v="21826.480000000003"/>
  </r>
  <r>
    <s v="ORD0139"/>
    <x v="0"/>
    <s v="UK"/>
    <x v="1"/>
    <s v="Offline"/>
    <s v="Low"/>
    <d v="2023-05-19T00:00:00"/>
    <n v="383"/>
    <n v="366.76"/>
    <n v="395.33"/>
    <n v="-10942.309999999998"/>
  </r>
  <r>
    <s v="ORD0140"/>
    <x v="2"/>
    <s v="Germany"/>
    <x v="0"/>
    <s v="Offline"/>
    <s v="Low"/>
    <d v="2023-05-20T00:00:00"/>
    <n v="202"/>
    <n v="82.3"/>
    <n v="178.42"/>
    <n v="-19416.239999999998"/>
  </r>
  <r>
    <s v="ORD0141"/>
    <x v="1"/>
    <s v="Australia"/>
    <x v="2"/>
    <s v="Offline"/>
    <s v="Medium"/>
    <d v="2023-05-21T00:00:00"/>
    <n v="31"/>
    <n v="121.11"/>
    <n v="21.04"/>
    <n v="3102.1699999999996"/>
  </r>
  <r>
    <s v="ORD0142"/>
    <x v="2"/>
    <s v="India"/>
    <x v="4"/>
    <s v="Offline"/>
    <s v="High"/>
    <d v="2023-05-22T00:00:00"/>
    <n v="483"/>
    <n v="481.86"/>
    <n v="17.13"/>
    <n v="224464.59"/>
  </r>
  <r>
    <s v="ORD0143"/>
    <x v="1"/>
    <s v="Australia"/>
    <x v="4"/>
    <s v="Offline"/>
    <s v="Low"/>
    <d v="2023-05-23T00:00:00"/>
    <n v="129"/>
    <n v="131.38"/>
    <n v="298.99"/>
    <n v="-21621.690000000002"/>
  </r>
  <r>
    <s v="ORD0144"/>
    <x v="1"/>
    <s v="Germany"/>
    <x v="0"/>
    <s v="Online"/>
    <s v="Medium"/>
    <d v="2023-05-24T00:00:00"/>
    <n v="219"/>
    <n v="332.51"/>
    <n v="264.3"/>
    <n v="14937.989999999996"/>
  </r>
  <r>
    <s v="ORD0145"/>
    <x v="1"/>
    <s v="Germany"/>
    <x v="0"/>
    <s v="Offline"/>
    <s v="Medium"/>
    <d v="2023-05-25T00:00:00"/>
    <n v="315"/>
    <n v="489.42"/>
    <n v="321.25"/>
    <n v="52973.55"/>
  </r>
  <r>
    <s v="ORD0146"/>
    <x v="0"/>
    <s v="Germany"/>
    <x v="3"/>
    <s v="Online"/>
    <s v="Medium"/>
    <d v="2023-05-26T00:00:00"/>
    <n v="279"/>
    <n v="190.28"/>
    <n v="43.94"/>
    <n v="40828.86"/>
  </r>
  <r>
    <s v="ORD0147"/>
    <x v="0"/>
    <s v="Australia"/>
    <x v="2"/>
    <s v="Offline"/>
    <s v="Low"/>
    <d v="2023-05-27T00:00:00"/>
    <n v="201"/>
    <n v="13.67"/>
    <n v="16.16"/>
    <n v="-500.49000000000007"/>
  </r>
  <r>
    <s v="ORD0148"/>
    <x v="0"/>
    <s v="Germany"/>
    <x v="2"/>
    <s v="Online"/>
    <s v="High"/>
    <d v="2023-05-28T00:00:00"/>
    <n v="184"/>
    <n v="125.85"/>
    <n v="204.41"/>
    <n v="-14455.04"/>
  </r>
  <r>
    <s v="ORD0149"/>
    <x v="2"/>
    <s v="Australia"/>
    <x v="1"/>
    <s v="Offline"/>
    <s v="Low"/>
    <d v="2023-05-29T00:00:00"/>
    <n v="294"/>
    <n v="416.28"/>
    <n v="156.26"/>
    <n v="76445.87999999999"/>
  </r>
  <r>
    <s v="ORD0150"/>
    <x v="1"/>
    <s v="Germany"/>
    <x v="3"/>
    <s v="Online"/>
    <s v="Low"/>
    <d v="2023-05-30T00:00:00"/>
    <n v="213"/>
    <n v="432.98"/>
    <n v="185.85"/>
    <n v="52638.69"/>
  </r>
  <r>
    <s v="ORD0151"/>
    <x v="0"/>
    <s v="UK"/>
    <x v="3"/>
    <s v="Offline"/>
    <s v="High"/>
    <d v="2023-05-31T00:00:00"/>
    <n v="173"/>
    <n v="385.42"/>
    <n v="396.65"/>
    <n v="-1942.7899999999934"/>
  </r>
  <r>
    <s v="ORD0152"/>
    <x v="0"/>
    <s v="Germany"/>
    <x v="3"/>
    <s v="Online"/>
    <s v="High"/>
    <d v="2023-06-01T00:00:00"/>
    <n v="260"/>
    <n v="60.99"/>
    <n v="388.36"/>
    <n v="-85116.2"/>
  </r>
  <r>
    <s v="ORD0153"/>
    <x v="2"/>
    <s v="Australia"/>
    <x v="3"/>
    <s v="Offline"/>
    <s v="High"/>
    <d v="2023-06-02T00:00:00"/>
    <n v="236"/>
    <n v="398.78"/>
    <n v="377.04"/>
    <n v="5130.6399999999885"/>
  </r>
  <r>
    <s v="ORD0154"/>
    <x v="0"/>
    <s v="USA"/>
    <x v="2"/>
    <s v="Online"/>
    <s v="Medium"/>
    <d v="2023-06-03T00:00:00"/>
    <n v="445"/>
    <n v="459.75"/>
    <n v="313.97000000000003"/>
    <n v="64872.099999999991"/>
  </r>
  <r>
    <s v="ORD0155"/>
    <x v="2"/>
    <s v="Germany"/>
    <x v="2"/>
    <s v="Offline"/>
    <s v="High"/>
    <d v="2023-06-04T00:00:00"/>
    <n v="390"/>
    <n v="302.3"/>
    <n v="143.22999999999999"/>
    <n v="62037.30000000001"/>
  </r>
  <r>
    <s v="ORD0156"/>
    <x v="4"/>
    <s v="USA"/>
    <x v="3"/>
    <s v="Online"/>
    <s v="Low"/>
    <d v="2023-06-05T00:00:00"/>
    <n v="469"/>
    <n v="470.73"/>
    <n v="166.03"/>
    <n v="142904.30000000002"/>
  </r>
  <r>
    <s v="ORD0157"/>
    <x v="0"/>
    <s v="UK"/>
    <x v="1"/>
    <s v="Online"/>
    <s v="High"/>
    <d v="2023-06-06T00:00:00"/>
    <n v="16"/>
    <m/>
    <n v="220.75"/>
    <s v=""/>
  </r>
  <r>
    <s v="ORD0158"/>
    <x v="4"/>
    <s v="India"/>
    <x v="4"/>
    <s v="Offline"/>
    <s v="Low"/>
    <d v="2023-06-07T00:00:00"/>
    <n v="38"/>
    <n v="335.15"/>
    <n v="332.55"/>
    <n v="98.799999999998704"/>
  </r>
  <r>
    <s v="ORD0159"/>
    <x v="2"/>
    <s v="UK"/>
    <x v="5"/>
    <s v="Offline"/>
    <s v="Medium"/>
    <d v="2023-06-08T00:00:00"/>
    <n v="404"/>
    <n v="290.70999999999998"/>
    <n v="29.35"/>
    <n v="105589.43999999999"/>
  </r>
  <r>
    <s v="ORD0160"/>
    <x v="1"/>
    <s v="Germany"/>
    <x v="1"/>
    <s v="Online"/>
    <s v="Low"/>
    <d v="2023-06-09T00:00:00"/>
    <n v="42"/>
    <n v="177.54"/>
    <n v="170.87"/>
    <n v="280.13999999999947"/>
  </r>
  <r>
    <s v="ORD0161"/>
    <x v="0"/>
    <s v="USA"/>
    <x v="3"/>
    <s v="Offline"/>
    <s v="Low"/>
    <d v="2023-06-10T00:00:00"/>
    <n v="143"/>
    <n v="83.85"/>
    <n v="34.880000000000003"/>
    <n v="7002.7099999999991"/>
  </r>
  <r>
    <s v="ORD0162"/>
    <x v="2"/>
    <s v="USA"/>
    <x v="2"/>
    <s v="Online"/>
    <s v="High"/>
    <d v="2023-06-11T00:00:00"/>
    <n v="376"/>
    <n v="304.45"/>
    <n v="206.83"/>
    <n v="36705.119999999988"/>
  </r>
  <r>
    <s v="ORD0163"/>
    <x v="1"/>
    <s v="Australia"/>
    <x v="4"/>
    <s v="Online"/>
    <s v="High"/>
    <d v="2023-06-12T00:00:00"/>
    <n v="88"/>
    <n v="162.47"/>
    <n v="359.76"/>
    <n v="-17361.52"/>
  </r>
  <r>
    <s v="ORD0164"/>
    <x v="1"/>
    <s v="USA"/>
    <x v="0"/>
    <s v="Online"/>
    <s v="Low"/>
    <d v="2023-06-13T00:00:00"/>
    <n v="425"/>
    <n v="433.89"/>
    <n v="313.43"/>
    <n v="51195.499999999993"/>
  </r>
  <r>
    <s v="ORD0165"/>
    <x v="4"/>
    <s v="Australia"/>
    <x v="0"/>
    <s v="Offline"/>
    <s v="High"/>
    <d v="2023-06-14T00:00:00"/>
    <n v="444"/>
    <n v="496.7"/>
    <n v="92.68"/>
    <n v="179384.88"/>
  </r>
  <r>
    <s v="ORD0166"/>
    <x v="2"/>
    <s v="India"/>
    <x v="1"/>
    <s v="Online"/>
    <s v="Medium"/>
    <d v="2023-06-15T00:00:00"/>
    <n v="468"/>
    <n v="377.45"/>
    <n v="390.44"/>
    <n v="-6079.3200000000043"/>
  </r>
  <r>
    <s v="ORD0167"/>
    <x v="1"/>
    <s v="Germany"/>
    <x v="3"/>
    <s v="Online"/>
    <s v="Medium"/>
    <d v="2023-06-16T00:00:00"/>
    <n v="67"/>
    <n v="49.79"/>
    <n v="267.61"/>
    <n v="-14593.940000000002"/>
  </r>
  <r>
    <s v="ORD0168"/>
    <x v="0"/>
    <s v="Australia"/>
    <x v="4"/>
    <s v="Offline"/>
    <s v="High"/>
    <d v="2023-06-17T00:00:00"/>
    <n v="480"/>
    <n v="147.9"/>
    <n v="6.15"/>
    <n v="68040"/>
  </r>
  <r>
    <s v="ORD0169"/>
    <x v="0"/>
    <s v="India"/>
    <x v="3"/>
    <s v="Offline"/>
    <s v="Medium"/>
    <d v="2023-06-18T00:00:00"/>
    <n v="35"/>
    <n v="59.01"/>
    <n v="103.65"/>
    <n v="-1562.4000000000003"/>
  </r>
  <r>
    <s v="ORD0170"/>
    <x v="4"/>
    <s v="USA"/>
    <x v="4"/>
    <s v="Offline"/>
    <s v="High"/>
    <d v="2023-06-19T00:00:00"/>
    <n v="491"/>
    <n v="327"/>
    <n v="105.76"/>
    <n v="108628.84000000001"/>
  </r>
  <r>
    <s v="ORD0171"/>
    <x v="1"/>
    <s v="USA"/>
    <x v="1"/>
    <s v="Offline"/>
    <s v="Low"/>
    <d v="2023-06-20T00:00:00"/>
    <n v="439"/>
    <n v="383.77"/>
    <n v="29.56"/>
    <n v="155498.19"/>
  </r>
  <r>
    <s v="ORD0172"/>
    <x v="2"/>
    <s v="India"/>
    <x v="1"/>
    <s v="Online"/>
    <s v="Low"/>
    <d v="2023-06-21T00:00:00"/>
    <n v="235"/>
    <n v="463.21"/>
    <n v="384.01"/>
    <n v="18611.999999999996"/>
  </r>
  <r>
    <s v="ORD0173"/>
    <x v="0"/>
    <s v="USA"/>
    <x v="0"/>
    <s v="Online"/>
    <s v="Medium"/>
    <d v="2023-06-22T00:00:00"/>
    <n v="294"/>
    <n v="221.9"/>
    <n v="192.35"/>
    <n v="8687.7000000000025"/>
  </r>
  <r>
    <s v="ORD0174"/>
    <x v="1"/>
    <s v="India"/>
    <x v="3"/>
    <s v="Online"/>
    <s v="High"/>
    <d v="2023-06-23T00:00:00"/>
    <n v="13"/>
    <n v="451.18"/>
    <n v="358.53"/>
    <n v="1204.4500000000005"/>
  </r>
  <r>
    <s v="ORD0175"/>
    <x v="1"/>
    <s v="Australia"/>
    <x v="0"/>
    <s v="Online"/>
    <s v="High"/>
    <d v="2023-06-24T00:00:00"/>
    <n v="474"/>
    <n v="439.56"/>
    <n v="130.24"/>
    <n v="146617.68"/>
  </r>
  <r>
    <s v="ORD0176"/>
    <x v="4"/>
    <s v="Australia"/>
    <x v="3"/>
    <s v="Offline"/>
    <s v="Medium"/>
    <d v="2023-06-25T00:00:00"/>
    <n v="108"/>
    <n v="162.01"/>
    <n v="51.84"/>
    <n v="11898.359999999999"/>
  </r>
  <r>
    <s v="ORD0177"/>
    <x v="0"/>
    <s v="India"/>
    <x v="0"/>
    <s v="Online"/>
    <s v="Low"/>
    <d v="2023-06-26T00:00:00"/>
    <n v="406"/>
    <n v="435.11"/>
    <n v="190.79"/>
    <n v="99193.920000000013"/>
  </r>
  <r>
    <s v="ORD0178"/>
    <x v="0"/>
    <s v="Australia"/>
    <x v="2"/>
    <s v="Online"/>
    <s v="Medium"/>
    <d v="2023-06-27T00:00:00"/>
    <n v="498"/>
    <n v="190.96"/>
    <n v="47.35"/>
    <n v="71517.780000000013"/>
  </r>
  <r>
    <s v="ORD0179"/>
    <x v="2"/>
    <s v="Australia"/>
    <x v="2"/>
    <s v="Offline"/>
    <s v="Low"/>
    <d v="2023-06-28T00:00:00"/>
    <n v="48"/>
    <n v="151.94999999999999"/>
    <n v="195.43"/>
    <n v="-2087.0400000000009"/>
  </r>
  <r>
    <s v="ORD0180"/>
    <x v="0"/>
    <s v="Australia"/>
    <x v="2"/>
    <s v="Online"/>
    <s v="High"/>
    <d v="2023-06-29T00:00:00"/>
    <n v="280"/>
    <n v="326.29000000000002"/>
    <n v="368.28"/>
    <n v="-11757.199999999986"/>
  </r>
  <r>
    <s v="ORD0181"/>
    <x v="2"/>
    <s v="UK"/>
    <x v="2"/>
    <s v="Online"/>
    <s v="Low"/>
    <d v="2023-06-30T00:00:00"/>
    <n v="384"/>
    <n v="167.55"/>
    <n v="209.27"/>
    <n v="-16020.48"/>
  </r>
  <r>
    <s v="ORD0182"/>
    <x v="0"/>
    <s v="Germany"/>
    <x v="4"/>
    <s v="Online"/>
    <s v="Medium"/>
    <d v="2023-07-01T00:00:00"/>
    <n v="294"/>
    <n v="316.95"/>
    <n v="247.37"/>
    <n v="20456.519999999997"/>
  </r>
  <r>
    <s v="ORD0183"/>
    <x v="4"/>
    <s v="USA"/>
    <x v="2"/>
    <s v="Online"/>
    <s v="High"/>
    <d v="2023-07-02T00:00:00"/>
    <n v="166"/>
    <n v="306.87"/>
    <n v="64.34"/>
    <n v="40259.980000000003"/>
  </r>
  <r>
    <s v="ORD0184"/>
    <x v="0"/>
    <s v="UK"/>
    <x v="1"/>
    <s v="Online"/>
    <s v="Medium"/>
    <d v="2023-07-03T00:00:00"/>
    <n v="84"/>
    <n v="283.89999999999998"/>
    <n v="19.41"/>
    <n v="22217.159999999996"/>
  </r>
  <r>
    <s v="ORD0185"/>
    <x v="2"/>
    <s v="Australia"/>
    <x v="1"/>
    <s v="Online"/>
    <s v="Medium"/>
    <d v="2023-07-04T00:00:00"/>
    <n v="381"/>
    <n v="193.31"/>
    <n v="46.1"/>
    <n v="56087.01"/>
  </r>
  <r>
    <s v="ORD0186"/>
    <x v="2"/>
    <s v="India"/>
    <x v="4"/>
    <s v="Offline"/>
    <s v="Low"/>
    <d v="2023-07-05T00:00:00"/>
    <n v="297"/>
    <n v="276.51"/>
    <n v="240.22"/>
    <n v="10778.129999999997"/>
  </r>
  <r>
    <s v="ORD0187"/>
    <x v="4"/>
    <s v="Australia"/>
    <x v="2"/>
    <s v="Offline"/>
    <s v="Medium"/>
    <d v="2023-07-06T00:00:00"/>
    <n v="139"/>
    <n v="300.26"/>
    <n v="39.81"/>
    <n v="36202.549999999996"/>
  </r>
  <r>
    <s v="ORD0188"/>
    <x v="0"/>
    <s v="Germany"/>
    <x v="2"/>
    <s v="Online"/>
    <s v="Low"/>
    <d v="2023-07-07T00:00:00"/>
    <n v="184"/>
    <n v="275.12"/>
    <n v="151.65"/>
    <n v="22718.48"/>
  </r>
  <r>
    <s v="ORD0189"/>
    <x v="0"/>
    <s v="Australia"/>
    <x v="2"/>
    <s v="Online"/>
    <s v="High"/>
    <d v="2023-07-08T00:00:00"/>
    <n v="471"/>
    <n v="224.99"/>
    <n v="220.94"/>
    <n v="1907.5500000000054"/>
  </r>
  <r>
    <s v="ORD0190"/>
    <x v="4"/>
    <s v="India"/>
    <x v="0"/>
    <s v="Offline"/>
    <s v="Low"/>
    <d v="2023-07-09T00:00:00"/>
    <n v="93"/>
    <n v="12.26"/>
    <n v="156.68"/>
    <n v="-13431.060000000001"/>
  </r>
  <r>
    <s v="ORD0191"/>
    <x v="0"/>
    <s v="Germany"/>
    <x v="3"/>
    <s v="Online"/>
    <s v="High"/>
    <d v="2023-07-10T00:00:00"/>
    <n v="31"/>
    <n v="295.60000000000002"/>
    <n v="67.150000000000006"/>
    <n v="7081.9500000000007"/>
  </r>
  <r>
    <s v="ORD0192"/>
    <x v="0"/>
    <s v="Australia"/>
    <x v="0"/>
    <s v="Online"/>
    <s v="Low"/>
    <d v="2023-07-11T00:00:00"/>
    <n v="468"/>
    <n v="88.38"/>
    <n v="110.97"/>
    <n v="-10572.12"/>
  </r>
  <r>
    <s v="ORD0193"/>
    <x v="2"/>
    <s v="Germany"/>
    <x v="3"/>
    <s v="Online"/>
    <s v="Medium"/>
    <d v="2023-07-12T00:00:00"/>
    <n v="36"/>
    <n v="323.08"/>
    <n v="371.47"/>
    <n v="-1742.0400000000016"/>
  </r>
  <r>
    <s v="ORD0194"/>
    <x v="0"/>
    <s v="USA"/>
    <x v="2"/>
    <s v="Offline"/>
    <s v="Low"/>
    <d v="2023-07-13T00:00:00"/>
    <n v="204"/>
    <n v="380.88"/>
    <n v="271.04000000000002"/>
    <n v="22407.359999999993"/>
  </r>
  <r>
    <s v="ORD0195"/>
    <x v="0"/>
    <s v="USA"/>
    <x v="2"/>
    <s v="Online"/>
    <s v="Low"/>
    <d v="2023-07-14T00:00:00"/>
    <n v="346"/>
    <n v="252.72"/>
    <n v="199.43"/>
    <n v="18438.339999999997"/>
  </r>
  <r>
    <s v="ORD0196"/>
    <x v="4"/>
    <s v="Australia"/>
    <x v="0"/>
    <s v="Offline"/>
    <s v="High"/>
    <d v="2023-07-15T00:00:00"/>
    <n v="391"/>
    <n v="273.47000000000003"/>
    <n v="7.06"/>
    <n v="104166.31000000001"/>
  </r>
  <r>
    <s v="ORD0197"/>
    <x v="4"/>
    <s v="Germany"/>
    <x v="0"/>
    <s v="Online"/>
    <s v="Medium"/>
    <d v="2023-07-16T00:00:00"/>
    <n v="245"/>
    <n v="475.98"/>
    <n v="396.98"/>
    <n v="19355"/>
  </r>
  <r>
    <s v="ORD0198"/>
    <x v="1"/>
    <s v="India"/>
    <x v="3"/>
    <s v="Offline"/>
    <s v="Low"/>
    <d v="2023-07-17T00:00:00"/>
    <n v="449"/>
    <n v="424.35"/>
    <n v="269.24"/>
    <n v="69644.39"/>
  </r>
  <r>
    <s v="ORD0199"/>
    <x v="2"/>
    <s v="Australia"/>
    <x v="1"/>
    <s v="Offline"/>
    <s v="Medium"/>
    <d v="2023-07-18T00:00:00"/>
    <n v="101"/>
    <n v="457.55"/>
    <n v="128.13999999999999"/>
    <n v="33270.410000000003"/>
  </r>
  <r>
    <s v="ORD0200"/>
    <x v="0"/>
    <s v="USA"/>
    <x v="3"/>
    <s v="Online"/>
    <s v="Low"/>
    <d v="2023-07-19T00:00:00"/>
    <m/>
    <n v="407.81"/>
    <n v="351.95"/>
    <s v=""/>
  </r>
  <r>
    <s v="ORD0201"/>
    <x v="0"/>
    <s v="USA"/>
    <x v="0"/>
    <s v="Offline"/>
    <s v="Low"/>
    <d v="2023-07-20T00:00:00"/>
    <n v="30"/>
    <n v="58.91"/>
    <n v="104.86"/>
    <n v="-1378.5"/>
  </r>
  <r>
    <s v="ORD0202"/>
    <x v="1"/>
    <s v="Australia"/>
    <x v="0"/>
    <s v="Online"/>
    <s v="Medium"/>
    <d v="2023-07-21T00:00:00"/>
    <n v="312"/>
    <n v="78.75"/>
    <n v="218.52"/>
    <n v="-43608.240000000005"/>
  </r>
  <r>
    <s v="ORD0203"/>
    <x v="0"/>
    <s v="Germany"/>
    <x v="4"/>
    <s v="Offline"/>
    <s v="Low"/>
    <d v="2023-07-22T00:00:00"/>
    <n v="473"/>
    <n v="265.68"/>
    <n v="255.16"/>
    <n v="4975.9600000000046"/>
  </r>
  <r>
    <s v="ORD0204"/>
    <x v="2"/>
    <s v="USA"/>
    <x v="0"/>
    <s v="Online"/>
    <s v="Medium"/>
    <d v="2023-07-23T00:00:00"/>
    <n v="366"/>
    <n v="126.8"/>
    <n v="89.98"/>
    <n v="13476.119999999997"/>
  </r>
  <r>
    <s v="ORD0205"/>
    <x v="1"/>
    <s v="Germany"/>
    <x v="4"/>
    <s v="Online"/>
    <s v="Low"/>
    <d v="2023-07-24T00:00:00"/>
    <n v="452"/>
    <n v="240.96"/>
    <n v="391.4"/>
    <n v="-67998.87999999999"/>
  </r>
  <r>
    <s v="ORD0206"/>
    <x v="2"/>
    <s v="USA"/>
    <x v="1"/>
    <s v="Offline"/>
    <s v="High"/>
    <d v="2023-07-25T00:00:00"/>
    <n v="93"/>
    <n v="200.21"/>
    <n v="299.77999999999997"/>
    <n v="-9260.0099999999966"/>
  </r>
  <r>
    <s v="ORD0207"/>
    <x v="1"/>
    <s v="USA"/>
    <x v="3"/>
    <s v="Online"/>
    <s v="Medium"/>
    <d v="2023-07-26T00:00:00"/>
    <n v="271"/>
    <n v="276.95999999999998"/>
    <n v="224.01"/>
    <n v="14349.449999999997"/>
  </r>
  <r>
    <s v="ORD0208"/>
    <x v="1"/>
    <s v="UK"/>
    <x v="3"/>
    <s v="Online"/>
    <s v="Low"/>
    <d v="2023-07-27T00:00:00"/>
    <n v="156"/>
    <n v="374.7"/>
    <n v="73.88"/>
    <n v="46927.92"/>
  </r>
  <r>
    <s v="ORD0209"/>
    <x v="4"/>
    <s v="USA"/>
    <x v="4"/>
    <s v="Offline"/>
    <s v="Low"/>
    <d v="2023-07-28T00:00:00"/>
    <n v="450"/>
    <n v="359.17"/>
    <n v="23.44"/>
    <n v="151078.5"/>
  </r>
  <r>
    <s v="ORD0210"/>
    <x v="2"/>
    <s v="India"/>
    <x v="3"/>
    <s v="Online"/>
    <s v="High"/>
    <d v="2023-07-29T00:00:00"/>
    <n v="462"/>
    <n v="263.01"/>
    <n v="129.38"/>
    <n v="61737.06"/>
  </r>
  <r>
    <s v="ORD0211"/>
    <x v="0"/>
    <s v="Australia"/>
    <x v="5"/>
    <s v="Online"/>
    <s v="Medium"/>
    <d v="2023-07-30T00:00:00"/>
    <n v="396"/>
    <n v="412.08"/>
    <n v="301.77"/>
    <n v="43682.76"/>
  </r>
  <r>
    <s v="ORD0212"/>
    <x v="0"/>
    <s v="Australia"/>
    <x v="2"/>
    <s v="Offline"/>
    <s v="Low"/>
    <d v="2023-07-31T00:00:00"/>
    <n v="266"/>
    <n v="218.28"/>
    <n v="109.19"/>
    <n v="29017.940000000002"/>
  </r>
  <r>
    <s v="ORD0213"/>
    <x v="2"/>
    <s v="Germany"/>
    <x v="4"/>
    <s v="Offline"/>
    <s v="High"/>
    <d v="2023-08-01T00:00:00"/>
    <n v="67"/>
    <n v="448.87"/>
    <n v="216.74"/>
    <n v="15552.71"/>
  </r>
  <r>
    <s v="ORD0214"/>
    <x v="0"/>
    <s v="USA"/>
    <x v="3"/>
    <s v="Online"/>
    <s v="Low"/>
    <d v="2023-08-02T00:00:00"/>
    <n v="389"/>
    <n v="40.28"/>
    <n v="291.72000000000003"/>
    <n v="-97810.16"/>
  </r>
  <r>
    <s v="ORD0215"/>
    <x v="0"/>
    <s v="India"/>
    <x v="4"/>
    <s v="Online"/>
    <s v="Medium"/>
    <d v="2023-08-03T00:00:00"/>
    <n v="431"/>
    <n v="477.56"/>
    <n v="44.96"/>
    <n v="186450.6"/>
  </r>
  <r>
    <s v="ORD0216"/>
    <x v="2"/>
    <s v="Germany"/>
    <x v="4"/>
    <s v="Offline"/>
    <s v="Low"/>
    <d v="2023-08-04T00:00:00"/>
    <n v="24"/>
    <n v="329.07"/>
    <n v="274.75"/>
    <n v="1303.6799999999998"/>
  </r>
  <r>
    <s v="ORD0217"/>
    <x v="1"/>
    <s v="UK"/>
    <x v="2"/>
    <s v="Offline"/>
    <s v="Low"/>
    <d v="2023-08-05T00:00:00"/>
    <n v="171"/>
    <n v="193.14"/>
    <n v="38.56"/>
    <n v="26433.179999999997"/>
  </r>
  <r>
    <s v="ORD0218"/>
    <x v="2"/>
    <s v="Germany"/>
    <x v="0"/>
    <s v="Online"/>
    <s v="Low"/>
    <d v="2023-08-06T00:00:00"/>
    <n v="454"/>
    <n v="102.59"/>
    <n v="386.12"/>
    <n v="-128722.61999999998"/>
  </r>
  <r>
    <s v="ORD0219"/>
    <x v="1"/>
    <s v="Germany"/>
    <x v="4"/>
    <s v="Offline"/>
    <s v="Low"/>
    <d v="2023-08-07T00:00:00"/>
    <n v="172"/>
    <n v="242.2"/>
    <n v="196.38"/>
    <n v="7881.0399999999991"/>
  </r>
  <r>
    <s v="ORD0220"/>
    <x v="0"/>
    <s v="USA"/>
    <x v="3"/>
    <s v="Online"/>
    <s v="High"/>
    <d v="2023-08-08T00:00:00"/>
    <n v="329"/>
    <n v="101.31"/>
    <n v="61.97"/>
    <n v="12942.86"/>
  </r>
  <r>
    <s v="ORD0221"/>
    <x v="0"/>
    <s v="UK"/>
    <x v="1"/>
    <s v="Online"/>
    <s v="High"/>
    <d v="2023-08-09T00:00:00"/>
    <n v="290"/>
    <n v="87.33"/>
    <n v="138.27000000000001"/>
    <n v="-14772.600000000004"/>
  </r>
  <r>
    <s v="ORD0222"/>
    <x v="3"/>
    <s v="Germany"/>
    <x v="4"/>
    <s v="Online"/>
    <s v="Medium"/>
    <d v="2023-08-10T00:00:00"/>
    <n v="289"/>
    <n v="310.58999999999997"/>
    <n v="166.54"/>
    <n v="41630.449999999997"/>
  </r>
  <r>
    <s v="ORD0223"/>
    <x v="4"/>
    <s v="India"/>
    <x v="4"/>
    <s v="Online"/>
    <s v="High"/>
    <d v="2023-08-11T00:00:00"/>
    <n v="21"/>
    <n v="263.93"/>
    <n v="303.76"/>
    <n v="-836.42999999999961"/>
  </r>
  <r>
    <s v="ORD0224"/>
    <x v="1"/>
    <s v="India"/>
    <x v="2"/>
    <s v="Online"/>
    <s v="High"/>
    <d v="2023-08-12T00:00:00"/>
    <n v="283"/>
    <n v="336.7"/>
    <n v="297.88"/>
    <n v="10986.059999999998"/>
  </r>
  <r>
    <s v="ORD0225"/>
    <x v="4"/>
    <s v="Australia"/>
    <x v="0"/>
    <s v="Offline"/>
    <s v="Medium"/>
    <d v="2023-08-13T00:00:00"/>
    <n v="280"/>
    <n v="465.15"/>
    <n v="245.55"/>
    <n v="61487.999999999993"/>
  </r>
  <r>
    <s v="ORD0226"/>
    <x v="4"/>
    <s v="UK"/>
    <x v="1"/>
    <s v="Offline"/>
    <s v="High"/>
    <d v="2023-08-14T00:00:00"/>
    <n v="217"/>
    <n v="268.47000000000003"/>
    <n v="44.16"/>
    <n v="48675.270000000004"/>
  </r>
  <r>
    <s v="ORD0227"/>
    <x v="2"/>
    <s v="UK"/>
    <x v="3"/>
    <s v="Offline"/>
    <s v="High"/>
    <d v="2023-08-15T00:00:00"/>
    <n v="36"/>
    <n v="292.56"/>
    <n v="62.32"/>
    <n v="8288.64"/>
  </r>
  <r>
    <s v="ORD0228"/>
    <x v="4"/>
    <s v="Australia"/>
    <x v="1"/>
    <s v="Offline"/>
    <s v="Medium"/>
    <d v="2023-08-16T00:00:00"/>
    <m/>
    <n v="49.37"/>
    <n v="39.32"/>
    <s v=""/>
  </r>
  <r>
    <s v="ORD0229"/>
    <x v="2"/>
    <s v="Germany"/>
    <x v="3"/>
    <s v="Online"/>
    <s v="Medium"/>
    <d v="2023-08-17T00:00:00"/>
    <n v="69"/>
    <n v="360.23"/>
    <n v="231.71"/>
    <n v="8867.880000000001"/>
  </r>
  <r>
    <s v="ORD0230"/>
    <x v="2"/>
    <s v="UK"/>
    <x v="0"/>
    <s v="Online"/>
    <s v="Medium"/>
    <d v="2023-08-18T00:00:00"/>
    <n v="439"/>
    <n v="202.95"/>
    <n v="351.1"/>
    <n v="-65037.850000000013"/>
  </r>
  <r>
    <s v="ORD0231"/>
    <x v="4"/>
    <s v="India"/>
    <x v="3"/>
    <s v="Online"/>
    <s v="Low"/>
    <d v="2023-08-19T00:00:00"/>
    <n v="482"/>
    <n v="488.48"/>
    <n v="174.65"/>
    <n v="151266.06000000003"/>
  </r>
  <r>
    <s v="ORD0232"/>
    <x v="1"/>
    <s v="India"/>
    <x v="2"/>
    <s v="Online"/>
    <s v="Low"/>
    <d v="2023-08-20T00:00:00"/>
    <n v="154"/>
    <n v="412.47"/>
    <n v="66.02"/>
    <n v="53353.30000000001"/>
  </r>
  <r>
    <s v="ORD0233"/>
    <x v="1"/>
    <s v="USA"/>
    <x v="2"/>
    <s v="Offline"/>
    <s v="Medium"/>
    <d v="2023-08-21T00:00:00"/>
    <n v="102"/>
    <n v="263.63"/>
    <n v="224.1"/>
    <n v="4032.06"/>
  </r>
  <r>
    <s v="ORD0234"/>
    <x v="1"/>
    <s v="UK"/>
    <x v="2"/>
    <s v="Online"/>
    <s v="Medium"/>
    <d v="2023-08-22T00:00:00"/>
    <n v="318"/>
    <n v="66"/>
    <n v="325.08"/>
    <n v="-82387.439999999988"/>
  </r>
  <r>
    <s v="ORD0235"/>
    <x v="1"/>
    <s v="Germany"/>
    <x v="2"/>
    <s v="Online"/>
    <s v="Medium"/>
    <d v="2023-08-23T00:00:00"/>
    <n v="17"/>
    <n v="430.41"/>
    <n v="297.2"/>
    <n v="2264.5700000000006"/>
  </r>
  <r>
    <s v="ORD0236"/>
    <x v="1"/>
    <s v="Australia"/>
    <x v="1"/>
    <s v="Offline"/>
    <s v="Low"/>
    <d v="2023-08-24T00:00:00"/>
    <n v="88"/>
    <n v="400.89"/>
    <n v="352.82"/>
    <n v="4230.16"/>
  </r>
  <r>
    <s v="ORD0237"/>
    <x v="4"/>
    <s v="Australia"/>
    <x v="0"/>
    <s v="Offline"/>
    <s v="Low"/>
    <d v="2023-08-25T00:00:00"/>
    <n v="36"/>
    <n v="96.37"/>
    <n v="112.61"/>
    <n v="-584.63999999999987"/>
  </r>
  <r>
    <s v="ORD0238"/>
    <x v="4"/>
    <s v="Germany"/>
    <x v="3"/>
    <s v="Offline"/>
    <s v="High"/>
    <d v="2023-08-26T00:00:00"/>
    <n v="183"/>
    <n v="151.16"/>
    <n v="79.19"/>
    <n v="13170.51"/>
  </r>
  <r>
    <s v="ORD0239"/>
    <x v="0"/>
    <s v="USA"/>
    <x v="3"/>
    <s v="Offline"/>
    <s v="High"/>
    <d v="2023-08-27T00:00:00"/>
    <n v="59"/>
    <n v="397.74"/>
    <n v="352.17"/>
    <n v="2688.6299999999997"/>
  </r>
  <r>
    <s v="ORD0240"/>
    <x v="1"/>
    <s v="Australia"/>
    <x v="2"/>
    <s v="Online"/>
    <s v="Medium"/>
    <d v="2023-08-28T00:00:00"/>
    <n v="208"/>
    <n v="96.69"/>
    <n v="263.70999999999998"/>
    <n v="-34740.159999999996"/>
  </r>
  <r>
    <s v="ORD0241"/>
    <x v="4"/>
    <s v="UK"/>
    <x v="2"/>
    <s v="Online"/>
    <s v="Low"/>
    <d v="2023-08-29T00:00:00"/>
    <n v="396"/>
    <n v="459.29"/>
    <n v="125.75"/>
    <n v="132081.84"/>
  </r>
  <r>
    <s v="ORD0242"/>
    <x v="0"/>
    <s v="USA"/>
    <x v="4"/>
    <s v="Offline"/>
    <s v="Low"/>
    <d v="2023-08-30T00:00:00"/>
    <n v="358"/>
    <n v="215.14"/>
    <n v="297.45"/>
    <n v="-29466.98"/>
  </r>
  <r>
    <s v="ORD0243"/>
    <x v="1"/>
    <s v="UK"/>
    <x v="0"/>
    <s v="Online"/>
    <s v="Low"/>
    <d v="2023-08-31T00:00:00"/>
    <n v="457"/>
    <n v="48.08"/>
    <n v="326.42"/>
    <n v="-127201.38000000002"/>
  </r>
  <r>
    <s v="ORD0244"/>
    <x v="2"/>
    <s v="India"/>
    <x v="1"/>
    <s v="Online"/>
    <s v="Medium"/>
    <d v="2023-09-01T00:00:00"/>
    <n v="437"/>
    <n v="408.8"/>
    <n v="246.76"/>
    <n v="70811.48000000001"/>
  </r>
  <r>
    <s v="ORD0245"/>
    <x v="0"/>
    <s v="USA"/>
    <x v="3"/>
    <s v="Online"/>
    <s v="High"/>
    <d v="2023-09-02T00:00:00"/>
    <n v="190"/>
    <n v="189.89"/>
    <n v="275.77999999999997"/>
    <n v="-16319.099999999997"/>
  </r>
  <r>
    <s v="ORD0246"/>
    <x v="4"/>
    <s v="Australia"/>
    <x v="4"/>
    <s v="Offline"/>
    <s v="Medium"/>
    <d v="2023-09-03T00:00:00"/>
    <n v="33"/>
    <n v="265.62"/>
    <n v="151.35"/>
    <n v="3770.9100000000003"/>
  </r>
  <r>
    <s v="ORD0247"/>
    <x v="2"/>
    <s v="USA"/>
    <x v="4"/>
    <s v="Online"/>
    <s v="High"/>
    <d v="2023-09-04T00:00:00"/>
    <n v="325"/>
    <n v="60.59"/>
    <n v="216.4"/>
    <n v="-50638.25"/>
  </r>
  <r>
    <s v="ORD0248"/>
    <x v="2"/>
    <s v="USA"/>
    <x v="3"/>
    <s v="Offline"/>
    <s v="High"/>
    <d v="2023-09-05T00:00:00"/>
    <n v="387"/>
    <n v="6.28"/>
    <n v="210.62"/>
    <n v="-79079.58"/>
  </r>
  <r>
    <s v="ORD0249"/>
    <x v="2"/>
    <s v="USA"/>
    <x v="1"/>
    <s v="Online"/>
    <s v="Medium"/>
    <d v="2023-09-06T00:00:00"/>
    <n v="396"/>
    <n v="320.8"/>
    <n v="339.52"/>
    <n v="-7413.1199999999881"/>
  </r>
  <r>
    <s v="ORD0250"/>
    <x v="0"/>
    <s v="USA"/>
    <x v="4"/>
    <s v="Online"/>
    <s v="High"/>
    <d v="2023-09-07T00:00:00"/>
    <n v="413"/>
    <n v="260.01"/>
    <n v="336.31"/>
    <n v="-31511.900000000005"/>
  </r>
  <r>
    <s v="ORD0251"/>
    <x v="4"/>
    <s v="UK"/>
    <x v="4"/>
    <s v="Online"/>
    <s v="High"/>
    <d v="2023-09-08T00:00:00"/>
    <m/>
    <n v="298.8"/>
    <n v="333.41"/>
    <s v=""/>
  </r>
  <r>
    <s v="ORD0252"/>
    <x v="2"/>
    <s v="India"/>
    <x v="0"/>
    <s v="Offline"/>
    <s v="Low"/>
    <d v="2023-09-09T00:00:00"/>
    <n v="24"/>
    <n v="397.9"/>
    <n v="6.39"/>
    <n v="9396.24"/>
  </r>
  <r>
    <s v="ORD0253"/>
    <x v="1"/>
    <s v="Germany"/>
    <x v="5"/>
    <s v="Online"/>
    <s v="High"/>
    <d v="2023-09-10T00:00:00"/>
    <n v="162"/>
    <n v="325.07"/>
    <n v="300.32"/>
    <n v="4009.5"/>
  </r>
  <r>
    <s v="ORD0254"/>
    <x v="2"/>
    <s v="USA"/>
    <x v="4"/>
    <s v="Offline"/>
    <m/>
    <d v="2023-09-11T00:00:00"/>
    <n v="231"/>
    <n v="91.51"/>
    <n v="303.95"/>
    <n v="-49073.64"/>
  </r>
  <r>
    <s v="ORD0255"/>
    <x v="2"/>
    <s v="Australia"/>
    <x v="1"/>
    <s v="Offline"/>
    <m/>
    <d v="2023-09-12T00:00:00"/>
    <n v="215"/>
    <n v="183.58"/>
    <n v="271.99"/>
    <n v="-19008.149999999998"/>
  </r>
  <r>
    <s v="ORD0256"/>
    <x v="0"/>
    <s v="USA"/>
    <x v="3"/>
    <s v="Offline"/>
    <m/>
    <d v="2023-09-13T00:00:00"/>
    <n v="464"/>
    <n v="453.42"/>
    <n v="302.99"/>
    <n v="69799.520000000004"/>
  </r>
  <r>
    <s v="ORD0257"/>
    <x v="0"/>
    <s v="Australia"/>
    <x v="2"/>
    <s v="Online"/>
    <m/>
    <d v="2023-09-14T00:00:00"/>
    <n v="282"/>
    <m/>
    <n v="337.1"/>
    <s v=""/>
  </r>
  <r>
    <s v="ORD0258"/>
    <x v="4"/>
    <s v="UK"/>
    <x v="4"/>
    <s v="Online"/>
    <m/>
    <d v="2023-09-15T00:00:00"/>
    <n v="391"/>
    <n v="280.54000000000002"/>
    <n v="189.19"/>
    <n v="35717.850000000006"/>
  </r>
  <r>
    <s v="ORD0259"/>
    <x v="1"/>
    <s v="Australia"/>
    <x v="0"/>
    <s v="Online"/>
    <m/>
    <d v="2023-09-16T00:00:00"/>
    <n v="245"/>
    <n v="131.54"/>
    <n v="201.82"/>
    <n v="-17218.599999999999"/>
  </r>
  <r>
    <s v="ORD0260"/>
    <x v="0"/>
    <s v="Germany"/>
    <x v="3"/>
    <s v="Online"/>
    <m/>
    <d v="2023-09-17T00:00:00"/>
    <n v="349"/>
    <n v="154.52000000000001"/>
    <n v="51.64"/>
    <n v="35905.120000000003"/>
  </r>
  <r>
    <s v="ORD0261"/>
    <x v="2"/>
    <s v="India"/>
    <x v="1"/>
    <s v="Offline"/>
    <m/>
    <d v="2023-09-18T00:00:00"/>
    <n v="237"/>
    <m/>
    <n v="155.38"/>
    <s v=""/>
  </r>
  <r>
    <s v="ORD0262"/>
    <x v="4"/>
    <s v="Australia"/>
    <x v="3"/>
    <s v="Offline"/>
    <m/>
    <d v="2023-09-19T00:00:00"/>
    <n v="18"/>
    <n v="426.33"/>
    <n v="258.06"/>
    <n v="3028.8599999999997"/>
  </r>
  <r>
    <s v="ORD0263"/>
    <x v="2"/>
    <s v="Australia"/>
    <x v="4"/>
    <s v="Offline"/>
    <m/>
    <d v="2023-09-20T00:00:00"/>
    <n v="175"/>
    <n v="337.36"/>
    <n v="312.60000000000002"/>
    <n v="4332.9999999999982"/>
  </r>
  <r>
    <s v="ORD0264"/>
    <x v="2"/>
    <s v="India"/>
    <x v="5"/>
    <s v="Online"/>
    <m/>
    <d v="2023-09-21T00:00:00"/>
    <n v="441"/>
    <n v="405.72"/>
    <n v="88.45"/>
    <n v="139916.07"/>
  </r>
  <r>
    <s v="ORD0265"/>
    <x v="0"/>
    <s v="Germany"/>
    <x v="2"/>
    <s v="Offline"/>
    <m/>
    <d v="2023-09-22T00:00:00"/>
    <n v="453"/>
    <n v="384.49"/>
    <n v="56.85"/>
    <n v="148420.91999999998"/>
  </r>
  <r>
    <s v="ORD0266"/>
    <x v="4"/>
    <s v="USA"/>
    <x v="3"/>
    <s v="Online"/>
    <m/>
    <d v="2023-09-23T00:00:00"/>
    <n v="328"/>
    <n v="79.099999999999994"/>
    <n v="265.89"/>
    <n v="-61267.119999999995"/>
  </r>
  <r>
    <s v="ORD0267"/>
    <x v="1"/>
    <s v="Australia"/>
    <x v="4"/>
    <s v="Offline"/>
    <m/>
    <d v="2023-09-24T00:00:00"/>
    <n v="223"/>
    <n v="214.85"/>
    <n v="2.75"/>
    <n v="47298.299999999996"/>
  </r>
  <r>
    <s v="ORD0268"/>
    <x v="1"/>
    <s v="India"/>
    <x v="0"/>
    <s v="Online"/>
    <m/>
    <d v="2023-09-25T00:00:00"/>
    <n v="126"/>
    <n v="80.73"/>
    <n v="72.989999999999995"/>
    <n v="975.24000000000115"/>
  </r>
  <r>
    <s v="ORD0269"/>
    <x v="0"/>
    <s v="UK"/>
    <x v="1"/>
    <s v="Online"/>
    <m/>
    <d v="2023-09-26T00:00:00"/>
    <n v="395"/>
    <n v="121.44"/>
    <n v="13.57"/>
    <n v="42608.65"/>
  </r>
  <r>
    <s v="ORD0270"/>
    <x v="0"/>
    <s v="India"/>
    <x v="3"/>
    <s v="Offline"/>
    <m/>
    <d v="2023-09-27T00:00:00"/>
    <n v="353"/>
    <n v="435.28"/>
    <n v="68.42"/>
    <n v="129501.57999999999"/>
  </r>
  <r>
    <s v="ORD0271"/>
    <x v="4"/>
    <s v="UK"/>
    <x v="3"/>
    <s v="Offline"/>
    <m/>
    <d v="2023-09-28T00:00:00"/>
    <n v="81"/>
    <n v="239.08"/>
    <n v="74.17"/>
    <n v="13357.710000000003"/>
  </r>
  <r>
    <s v="ORD0272"/>
    <x v="1"/>
    <s v="Germany"/>
    <x v="2"/>
    <s v="Offline"/>
    <m/>
    <d v="2023-09-29T00:00:00"/>
    <n v="404"/>
    <n v="270"/>
    <n v="156.29"/>
    <n v="45938.840000000004"/>
  </r>
  <r>
    <s v="ORD0273"/>
    <x v="1"/>
    <s v="USA"/>
    <x v="2"/>
    <s v="Offline"/>
    <m/>
    <d v="2023-09-30T00:00:00"/>
    <n v="73"/>
    <n v="93.33"/>
    <n v="162.13"/>
    <n v="-5022.3999999999996"/>
  </r>
  <r>
    <s v="ORD0274"/>
    <x v="1"/>
    <s v="India"/>
    <x v="0"/>
    <s v="Online"/>
    <m/>
    <d v="2023-10-01T00:00:00"/>
    <n v="214"/>
    <n v="159.57"/>
    <n v="349.96"/>
    <n v="-40743.46"/>
  </r>
  <r>
    <s v="ORD0275"/>
    <x v="2"/>
    <s v="Australia"/>
    <x v="0"/>
    <s v="Offline"/>
    <m/>
    <d v="2023-10-02T00:00:00"/>
    <n v="218"/>
    <n v="118.97"/>
    <n v="205.02"/>
    <n v="-18758.900000000001"/>
  </r>
  <r>
    <s v="ORD0276"/>
    <x v="1"/>
    <s v="Germany"/>
    <x v="4"/>
    <s v="Offline"/>
    <m/>
    <d v="2023-10-03T00:00:00"/>
    <n v="81"/>
    <n v="107.06"/>
    <n v="289.92"/>
    <n v="-14811.660000000002"/>
  </r>
  <r>
    <s v="ORD0277"/>
    <x v="2"/>
    <s v="India"/>
    <x v="4"/>
    <s v="Offline"/>
    <m/>
    <d v="2023-10-04T00:00:00"/>
    <n v="286"/>
    <n v="320.79000000000002"/>
    <n v="43.45"/>
    <n v="79319.240000000005"/>
  </r>
  <r>
    <s v="ORD0278"/>
    <x v="4"/>
    <s v="Australia"/>
    <x v="0"/>
    <s v="Online"/>
    <m/>
    <d v="2023-10-05T00:00:00"/>
    <n v="283"/>
    <n v="132.16"/>
    <n v="91.72"/>
    <n v="11444.519999999999"/>
  </r>
  <r>
    <s v="ORD0279"/>
    <x v="2"/>
    <s v="India"/>
    <x v="0"/>
    <s v="Online"/>
    <m/>
    <d v="2023-10-06T00:00:00"/>
    <n v="487"/>
    <n v="317.85000000000002"/>
    <n v="281.77"/>
    <n v="17570.960000000021"/>
  </r>
  <r>
    <s v="ORD0280"/>
    <x v="4"/>
    <s v="UK"/>
    <x v="1"/>
    <s v="Offline"/>
    <m/>
    <d v="2023-10-07T00:00:00"/>
    <n v="329"/>
    <n v="33.94"/>
    <n v="23.02"/>
    <n v="3592.6799999999994"/>
  </r>
  <r>
    <s v="ORD0281"/>
    <x v="1"/>
    <s v="India"/>
    <x v="2"/>
    <s v="Online"/>
    <m/>
    <d v="2023-10-08T00:00:00"/>
    <n v="347"/>
    <n v="75.180000000000007"/>
    <n v="195.67"/>
    <n v="-41810.029999999992"/>
  </r>
  <r>
    <s v="ORD0282"/>
    <x v="1"/>
    <s v="India"/>
    <x v="4"/>
    <s v="Offline"/>
    <m/>
    <d v="2023-10-09T00:00:00"/>
    <n v="375"/>
    <n v="140.9"/>
    <n v="240.55"/>
    <n v="-37368.75"/>
  </r>
  <r>
    <s v="ORD0283"/>
    <x v="4"/>
    <s v="India"/>
    <x v="2"/>
    <s v="Online"/>
    <m/>
    <d v="2023-10-10T00:00:00"/>
    <n v="104"/>
    <n v="300.54000000000002"/>
    <n v="241.65"/>
    <n v="6124.5600000000013"/>
  </r>
  <r>
    <s v="ORD0284"/>
    <x v="0"/>
    <s v="Germany"/>
    <x v="5"/>
    <s v="Online"/>
    <m/>
    <d v="2023-10-11T00:00:00"/>
    <n v="175"/>
    <n v="339.54"/>
    <n v="11.13"/>
    <n v="57471.750000000007"/>
  </r>
  <r>
    <s v="ORD0285"/>
    <x v="4"/>
    <s v="India"/>
    <x v="0"/>
    <s v="Online"/>
    <m/>
    <d v="2023-10-12T00:00:00"/>
    <n v="41"/>
    <n v="224.14"/>
    <n v="130.19999999999999"/>
    <n v="3851.54"/>
  </r>
  <r>
    <s v="ORD0286"/>
    <x v="0"/>
    <s v="Australia"/>
    <x v="1"/>
    <s v="Online"/>
    <m/>
    <d v="2023-10-13T00:00:00"/>
    <n v="20"/>
    <n v="225.67"/>
    <n v="255.32"/>
    <n v="-593.00000000000011"/>
  </r>
  <r>
    <s v="ORD0287"/>
    <x v="2"/>
    <s v="UK"/>
    <x v="3"/>
    <s v="Offline"/>
    <m/>
    <d v="2023-10-14T00:00:00"/>
    <n v="310"/>
    <n v="363.64"/>
    <n v="61.3"/>
    <n v="93725.4"/>
  </r>
  <r>
    <s v="ORD0288"/>
    <x v="2"/>
    <s v="UK"/>
    <x v="1"/>
    <s v="Offline"/>
    <m/>
    <d v="2023-10-15T00:00:00"/>
    <n v="226"/>
    <m/>
    <n v="278.77999999999997"/>
    <s v=""/>
  </r>
  <r>
    <s v="ORD0289"/>
    <x v="2"/>
    <s v="India"/>
    <x v="1"/>
    <s v="Offline"/>
    <m/>
    <d v="2023-10-16T00:00:00"/>
    <m/>
    <n v="173.84"/>
    <n v="298.88"/>
    <s v=""/>
  </r>
  <r>
    <s v="ORD0290"/>
    <x v="1"/>
    <s v="Germany"/>
    <x v="2"/>
    <s v="Online"/>
    <m/>
    <d v="2023-10-17T00:00:00"/>
    <n v="111"/>
    <n v="410.26"/>
    <n v="392.82"/>
    <n v="1935.8399999999997"/>
  </r>
  <r>
    <s v="ORD0291"/>
    <x v="2"/>
    <s v="Germany"/>
    <x v="1"/>
    <s v="Offline"/>
    <m/>
    <d v="2023-10-18T00:00:00"/>
    <n v="434"/>
    <n v="303.58999999999997"/>
    <n v="85.52"/>
    <n v="94642.37999999999"/>
  </r>
  <r>
    <s v="ORD0292"/>
    <x v="0"/>
    <s v="Australia"/>
    <x v="4"/>
    <s v="Offline"/>
    <m/>
    <d v="2023-10-19T00:00:00"/>
    <n v="401"/>
    <n v="171.93"/>
    <n v="330.4"/>
    <n v="-63546.469999999987"/>
  </r>
  <r>
    <s v="ORD0293"/>
    <x v="2"/>
    <s v="India"/>
    <x v="2"/>
    <s v="Offline"/>
    <m/>
    <d v="2023-10-20T00:00:00"/>
    <n v="276"/>
    <n v="453.23"/>
    <n v="209.08"/>
    <n v="67385.400000000009"/>
  </r>
  <r>
    <s v="ORD0294"/>
    <x v="4"/>
    <s v="UK"/>
    <x v="4"/>
    <s v="Online"/>
    <m/>
    <d v="2023-10-21T00:00:00"/>
    <m/>
    <n v="387.45"/>
    <n v="150.63999999999999"/>
    <s v=""/>
  </r>
  <r>
    <s v="ORD0295"/>
    <x v="4"/>
    <s v="Germany"/>
    <x v="3"/>
    <s v="Online"/>
    <m/>
    <d v="2023-10-22T00:00:00"/>
    <n v="188"/>
    <n v="136.12"/>
    <n v="50.71"/>
    <n v="16057.08"/>
  </r>
  <r>
    <s v="ORD0296"/>
    <x v="1"/>
    <s v="India"/>
    <x v="2"/>
    <s v="Online"/>
    <m/>
    <d v="2023-10-23T00:00:00"/>
    <n v="97"/>
    <n v="324.42"/>
    <n v="294.73"/>
    <n v="2879.93"/>
  </r>
  <r>
    <s v="ORD0297"/>
    <x v="4"/>
    <s v="Germany"/>
    <x v="3"/>
    <s v="Offline"/>
    <m/>
    <d v="2023-10-24T00:00:00"/>
    <n v="50"/>
    <n v="299.89999999999998"/>
    <n v="95.87"/>
    <n v="10201.499999999998"/>
  </r>
  <r>
    <s v="ORD0298"/>
    <x v="0"/>
    <s v="Germany"/>
    <x v="2"/>
    <s v="Offline"/>
    <m/>
    <d v="2023-10-25T00:00:00"/>
    <n v="410"/>
    <n v="203.59"/>
    <n v="149.83000000000001"/>
    <n v="22041.599999999995"/>
  </r>
  <r>
    <s v="ORD0299"/>
    <x v="2"/>
    <s v="UK"/>
    <x v="0"/>
    <s v="Offline"/>
    <m/>
    <d v="2023-10-26T00:00:00"/>
    <n v="85"/>
    <n v="186.64"/>
    <n v="26.89"/>
    <n v="13578.75"/>
  </r>
  <r>
    <s v="ORD0300"/>
    <x v="1"/>
    <s v="USA"/>
    <x v="1"/>
    <s v="Online"/>
    <m/>
    <d v="2023-10-27T00:00:00"/>
    <n v="386"/>
    <n v="175.06"/>
    <n v="320.94"/>
    <n v="-56309.68"/>
  </r>
  <r>
    <s v="ORD0301"/>
    <x v="2"/>
    <s v="Australia"/>
    <x v="0"/>
    <s v="Online"/>
    <m/>
    <d v="2023-10-28T00:00:00"/>
    <n v="55"/>
    <n v="310.49"/>
    <n v="307.10000000000002"/>
    <n v="186.44999999999925"/>
  </r>
  <r>
    <s v="ORD0302"/>
    <x v="2"/>
    <s v="Australia"/>
    <x v="3"/>
    <s v="Offline"/>
    <m/>
    <d v="2023-10-29T00:00:00"/>
    <n v="169"/>
    <n v="223.99"/>
    <n v="293.98"/>
    <n v="-11828.310000000001"/>
  </r>
  <r>
    <s v="ORD0303"/>
    <x v="0"/>
    <s v="UK"/>
    <x v="1"/>
    <s v="Online"/>
    <m/>
    <d v="2023-10-30T00:00:00"/>
    <n v="472"/>
    <n v="416.77"/>
    <n v="121.18"/>
    <n v="139518.47999999998"/>
  </r>
  <r>
    <s v="ORD0304"/>
    <x v="4"/>
    <s v="Germany"/>
    <x v="2"/>
    <s v="Online"/>
    <m/>
    <d v="2023-10-31T00:00:00"/>
    <n v="89"/>
    <n v="336.45"/>
    <n v="71.05"/>
    <n v="23620.6"/>
  </r>
  <r>
    <s v="ORD0305"/>
    <x v="4"/>
    <s v="India"/>
    <x v="1"/>
    <s v="Online"/>
    <m/>
    <d v="2023-11-01T00:00:00"/>
    <n v="319"/>
    <n v="39.619999999999997"/>
    <n v="255.75"/>
    <n v="-68945.47"/>
  </r>
  <r>
    <s v="ORD0306"/>
    <x v="2"/>
    <s v="Germany"/>
    <x v="5"/>
    <s v="Online"/>
    <m/>
    <d v="2023-11-02T00:00:00"/>
    <n v="95"/>
    <n v="321.88"/>
    <n v="199.47"/>
    <n v="11628.949999999999"/>
  </r>
  <r>
    <s v="ORD0307"/>
    <x v="1"/>
    <s v="UK"/>
    <x v="5"/>
    <s v="Offline"/>
    <m/>
    <d v="2023-11-03T00:00:00"/>
    <n v="101"/>
    <n v="139.22"/>
    <n v="72.94"/>
    <n v="6694.28"/>
  </r>
  <r>
    <s v="ORD0308"/>
    <x v="4"/>
    <s v="Australia"/>
    <x v="5"/>
    <s v="Online"/>
    <m/>
    <d v="2023-11-04T00:00:00"/>
    <n v="157"/>
    <m/>
    <n v="274.99"/>
    <s v=""/>
  </r>
  <r>
    <s v="ORD0309"/>
    <x v="1"/>
    <s v="Germany"/>
    <x v="1"/>
    <s v="Online"/>
    <m/>
    <d v="2023-11-05T00:00:00"/>
    <n v="170"/>
    <n v="341.67"/>
    <n v="396.47"/>
    <n v="-9316.0000000000018"/>
  </r>
  <r>
    <s v="ORD0310"/>
    <x v="4"/>
    <s v="Australia"/>
    <x v="4"/>
    <s v="Online"/>
    <m/>
    <d v="2023-11-06T00:00:00"/>
    <n v="211"/>
    <n v="119.26"/>
    <n v="299.39"/>
    <n v="-38007.43"/>
  </r>
  <r>
    <s v="ORD0311"/>
    <x v="1"/>
    <s v="India"/>
    <x v="3"/>
    <s v="Online"/>
    <m/>
    <d v="2023-11-07T00:00:00"/>
    <n v="433"/>
    <n v="231.15"/>
    <n v="296.51"/>
    <n v="-28300.879999999994"/>
  </r>
  <r>
    <s v="ORD0312"/>
    <x v="0"/>
    <s v="Australia"/>
    <x v="0"/>
    <s v="Offline"/>
    <m/>
    <d v="2023-11-08T00:00:00"/>
    <n v="425"/>
    <n v="99.21"/>
    <n v="380.22"/>
    <n v="-119429.25000000001"/>
  </r>
  <r>
    <s v="ORD0313"/>
    <x v="1"/>
    <s v="Australia"/>
    <x v="2"/>
    <s v="Offline"/>
    <m/>
    <d v="2023-11-09T00:00:00"/>
    <n v="251"/>
    <n v="30.91"/>
    <n v="82.77"/>
    <n v="-13016.86"/>
  </r>
  <r>
    <s v="ORD0314"/>
    <x v="0"/>
    <s v="USA"/>
    <x v="1"/>
    <s v="Online"/>
    <m/>
    <d v="2023-11-10T00:00:00"/>
    <m/>
    <n v="192.35"/>
    <n v="227.09"/>
    <s v=""/>
  </r>
  <r>
    <s v="ORD0315"/>
    <x v="0"/>
    <s v="USA"/>
    <x v="0"/>
    <s v="Online"/>
    <m/>
    <d v="2023-11-11T00:00:00"/>
    <n v="11"/>
    <n v="184.66"/>
    <n v="391.9"/>
    <n v="-2279.64"/>
  </r>
  <r>
    <s v="ORD0316"/>
    <x v="1"/>
    <s v="USA"/>
    <x v="2"/>
    <s v="Online"/>
    <m/>
    <d v="2023-11-12T00:00:00"/>
    <n v="234"/>
    <n v="497.76"/>
    <n v="67.790000000000006"/>
    <n v="100612.98"/>
  </r>
  <r>
    <s v="ORD0317"/>
    <x v="0"/>
    <s v="Australia"/>
    <x v="2"/>
    <s v="Online"/>
    <m/>
    <d v="2023-11-13T00:00:00"/>
    <m/>
    <n v="225.94"/>
    <n v="280.7"/>
    <s v=""/>
  </r>
  <r>
    <s v="ORD0318"/>
    <x v="2"/>
    <s v="UK"/>
    <x v="4"/>
    <s v="Online"/>
    <m/>
    <d v="2023-11-14T00:00:00"/>
    <n v="242"/>
    <n v="170.12"/>
    <n v="235.15"/>
    <n v="-15737.26"/>
  </r>
  <r>
    <s v="ORD0319"/>
    <x v="0"/>
    <s v="Australia"/>
    <x v="3"/>
    <s v="Online"/>
    <m/>
    <d v="2023-11-15T00:00:00"/>
    <n v="470"/>
    <n v="292.33999999999997"/>
    <n v="235.42"/>
    <n v="26752.399999999994"/>
  </r>
  <r>
    <s v="ORD0320"/>
    <x v="4"/>
    <s v="UK"/>
    <x v="3"/>
    <s v="Offline"/>
    <m/>
    <d v="2023-11-16T00:00:00"/>
    <n v="423"/>
    <n v="48.94"/>
    <n v="279.67"/>
    <n v="-97598.790000000008"/>
  </r>
  <r>
    <s v="ORD0321"/>
    <x v="1"/>
    <s v="UK"/>
    <x v="0"/>
    <s v="Online"/>
    <m/>
    <d v="2023-11-17T00:00:00"/>
    <n v="426"/>
    <n v="481.02"/>
    <n v="371.99"/>
    <n v="46446.779999999992"/>
  </r>
  <r>
    <s v="ORD0322"/>
    <x v="2"/>
    <s v="USA"/>
    <x v="3"/>
    <s v="Offline"/>
    <m/>
    <d v="2023-11-18T00:00:00"/>
    <n v="86"/>
    <n v="319.31"/>
    <n v="313.47000000000003"/>
    <n v="502.23999999999785"/>
  </r>
  <r>
    <s v="ORD0323"/>
    <x v="1"/>
    <s v="Germany"/>
    <x v="1"/>
    <s v="Offline"/>
    <m/>
    <d v="2023-11-19T00:00:00"/>
    <n v="125"/>
    <n v="378.64"/>
    <n v="24.34"/>
    <n v="44287.5"/>
  </r>
  <r>
    <s v="ORD0324"/>
    <x v="4"/>
    <s v="India"/>
    <x v="5"/>
    <s v="Online"/>
    <m/>
    <d v="2023-11-20T00:00:00"/>
    <n v="163"/>
    <n v="89.39"/>
    <n v="341.39"/>
    <n v="-41076"/>
  </r>
  <r>
    <s v="ORD0325"/>
    <x v="4"/>
    <s v="USA"/>
    <x v="0"/>
    <s v="Offline"/>
    <m/>
    <d v="2023-11-21T00:00:00"/>
    <n v="415"/>
    <n v="207.69"/>
    <n v="91.77"/>
    <n v="48106.8"/>
  </r>
  <r>
    <s v="ORD0326"/>
    <x v="4"/>
    <s v="USA"/>
    <x v="3"/>
    <s v="Offline"/>
    <m/>
    <d v="2023-11-22T00:00:00"/>
    <n v="112"/>
    <n v="214.23"/>
    <n v="152.01"/>
    <n v="6968.6399999999994"/>
  </r>
  <r>
    <s v="ORD0327"/>
    <x v="0"/>
    <s v="Germany"/>
    <x v="1"/>
    <s v="Offline"/>
    <m/>
    <d v="2023-11-23T00:00:00"/>
    <n v="203"/>
    <n v="411.79"/>
    <n v="185.77"/>
    <n v="45882.060000000005"/>
  </r>
  <r>
    <s v="ORD0328"/>
    <x v="0"/>
    <s v="India"/>
    <x v="4"/>
    <s v="Offline"/>
    <m/>
    <d v="2023-11-24T00:00:00"/>
    <m/>
    <n v="5.61"/>
    <n v="193.4"/>
    <s v=""/>
  </r>
  <r>
    <s v="ORD0329"/>
    <x v="1"/>
    <s v="Australia"/>
    <x v="0"/>
    <s v="Offline"/>
    <m/>
    <d v="2023-11-25T00:00:00"/>
    <n v="368"/>
    <n v="153.91999999999999"/>
    <n v="175.2"/>
    <n v="-7831.0400000000009"/>
  </r>
  <r>
    <s v="ORD0330"/>
    <x v="1"/>
    <s v="Australia"/>
    <x v="4"/>
    <s v="Offline"/>
    <m/>
    <d v="2023-11-26T00:00:00"/>
    <n v="99"/>
    <n v="490.71"/>
    <n v="375.07"/>
    <n v="11448.359999999999"/>
  </r>
  <r>
    <s v="ORD0331"/>
    <x v="2"/>
    <s v="USA"/>
    <x v="4"/>
    <s v="Online"/>
    <m/>
    <d v="2023-11-27T00:00:00"/>
    <n v="183"/>
    <n v="240.07"/>
    <n v="283"/>
    <n v="-7856.1900000000014"/>
  </r>
  <r>
    <s v="ORD0332"/>
    <x v="3"/>
    <s v="India"/>
    <x v="4"/>
    <s v="Offline"/>
    <m/>
    <d v="2023-11-28T00:00:00"/>
    <n v="131"/>
    <n v="194.35"/>
    <n v="253.21"/>
    <n v="-7710.6600000000017"/>
  </r>
  <r>
    <s v="ORD0333"/>
    <x v="1"/>
    <s v="USA"/>
    <x v="2"/>
    <s v="Offline"/>
    <m/>
    <d v="2023-11-29T00:00:00"/>
    <n v="152"/>
    <n v="64.319999999999993"/>
    <n v="21.84"/>
    <n v="6456.9599999999982"/>
  </r>
  <r>
    <s v="ORD0334"/>
    <x v="0"/>
    <s v="UK"/>
    <x v="2"/>
    <s v="Offline"/>
    <m/>
    <d v="2023-11-30T00:00:00"/>
    <n v="491"/>
    <n v="487.21"/>
    <n v="361.76"/>
    <n v="61595.95"/>
  </r>
  <r>
    <s v="ORD0335"/>
    <x v="4"/>
    <s v="USA"/>
    <x v="4"/>
    <s v="Online"/>
    <m/>
    <d v="2023-12-01T00:00:00"/>
    <n v="115"/>
    <n v="14.91"/>
    <n v="363.94"/>
    <n v="-40138.449999999997"/>
  </r>
  <r>
    <s v="ORD0336"/>
    <x v="1"/>
    <s v="USA"/>
    <x v="0"/>
    <s v="Offline"/>
    <m/>
    <d v="2023-12-02T00:00:00"/>
    <n v="384"/>
    <n v="369.9"/>
    <n v="312.52"/>
    <n v="22033.919999999998"/>
  </r>
  <r>
    <s v="ORD0337"/>
    <x v="2"/>
    <s v="Australia"/>
    <x v="1"/>
    <s v="Online"/>
    <m/>
    <d v="2023-12-03T00:00:00"/>
    <n v="437"/>
    <n v="385.46"/>
    <n v="4.8"/>
    <n v="166348.41999999998"/>
  </r>
  <r>
    <s v="ORD0338"/>
    <x v="0"/>
    <s v="Australia"/>
    <x v="1"/>
    <s v="Offline"/>
    <m/>
    <d v="2023-12-04T00:00:00"/>
    <n v="314"/>
    <n v="125.61"/>
    <n v="24.8"/>
    <n v="31654.34"/>
  </r>
  <r>
    <s v="ORD0339"/>
    <x v="1"/>
    <s v="Australia"/>
    <x v="3"/>
    <s v="Online"/>
    <m/>
    <d v="2023-12-05T00:00:00"/>
    <n v="369"/>
    <n v="337.42"/>
    <n v="91.64"/>
    <n v="90692.82"/>
  </r>
  <r>
    <s v="ORD0340"/>
    <x v="1"/>
    <s v="UK"/>
    <x v="0"/>
    <s v="Online"/>
    <m/>
    <d v="2023-12-06T00:00:00"/>
    <n v="468"/>
    <n v="51"/>
    <n v="54.28"/>
    <n v="-1535.0400000000004"/>
  </r>
  <r>
    <s v="ORD0341"/>
    <x v="0"/>
    <s v="Australia"/>
    <x v="2"/>
    <s v="Offline"/>
    <m/>
    <d v="2023-12-07T00:00:00"/>
    <n v="326"/>
    <n v="132.24"/>
    <n v="160.74"/>
    <n v="-9291"/>
  </r>
  <r>
    <s v="ORD0342"/>
    <x v="1"/>
    <s v="India"/>
    <x v="4"/>
    <s v="Offline"/>
    <m/>
    <d v="2023-12-08T00:00:00"/>
    <n v="460"/>
    <n v="395.01"/>
    <n v="369.2"/>
    <n v="11872.6"/>
  </r>
  <r>
    <s v="ORD0343"/>
    <x v="0"/>
    <s v="Germany"/>
    <x v="3"/>
    <s v="Online"/>
    <m/>
    <d v="2023-12-09T00:00:00"/>
    <n v="132"/>
    <n v="433.02"/>
    <n v="189.88"/>
    <n v="32094.48"/>
  </r>
  <r>
    <s v="ORD0344"/>
    <x v="4"/>
    <s v="India"/>
    <x v="1"/>
    <s v="Offline"/>
    <m/>
    <d v="2023-12-10T00:00:00"/>
    <n v="399"/>
    <n v="306.2"/>
    <n v="7.33"/>
    <n v="119249.13"/>
  </r>
  <r>
    <s v="ORD0345"/>
    <x v="0"/>
    <s v="India"/>
    <x v="2"/>
    <s v="Online"/>
    <m/>
    <d v="2023-12-11T00:00:00"/>
    <n v="18"/>
    <n v="255.89"/>
    <n v="114.53"/>
    <n v="2544.4799999999996"/>
  </r>
  <r>
    <s v="ORD0346"/>
    <x v="0"/>
    <s v="Australia"/>
    <x v="2"/>
    <s v="Online"/>
    <m/>
    <d v="2023-12-12T00:00:00"/>
    <n v="271"/>
    <n v="83.86"/>
    <n v="19.75"/>
    <n v="17373.810000000001"/>
  </r>
  <r>
    <s v="ORD0347"/>
    <x v="3"/>
    <s v="Germany"/>
    <x v="4"/>
    <s v="Online"/>
    <m/>
    <d v="2023-12-13T00:00:00"/>
    <n v="82"/>
    <n v="36.24"/>
    <n v="16.440000000000001"/>
    <n v="1623.6000000000001"/>
  </r>
  <r>
    <s v="ORD0348"/>
    <x v="1"/>
    <s v="Germany"/>
    <x v="1"/>
    <s v="Online"/>
    <m/>
    <d v="2023-12-14T00:00:00"/>
    <n v="368"/>
    <n v="63.24"/>
    <n v="111.74"/>
    <n v="-17847.999999999996"/>
  </r>
  <r>
    <s v="ORD0349"/>
    <x v="1"/>
    <s v="Germany"/>
    <x v="0"/>
    <s v="Online"/>
    <m/>
    <d v="2023-12-15T00:00:00"/>
    <n v="232"/>
    <n v="117.54"/>
    <n v="111.69"/>
    <n v="1357.2000000000021"/>
  </r>
  <r>
    <s v="ORD0350"/>
    <x v="0"/>
    <s v="UK"/>
    <x v="2"/>
    <s v="Offline"/>
    <m/>
    <d v="2023-12-16T00:00:00"/>
    <n v="425"/>
    <n v="174.13"/>
    <n v="315.27999999999997"/>
    <n v="-59988.74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758B5-DA82-4258-88AA-83770BAA8042}" name="SalesByCategory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" firstHeaderRow="1" firstDataRow="2" firstDataCol="1"/>
  <pivotFields count="11">
    <pivotField showAll="0"/>
    <pivotField axis="axisCol" showAll="0">
      <items count="6">
        <item x="0"/>
        <item x="2"/>
        <item x="4"/>
        <item x="1"/>
        <item x="3"/>
        <item t="default"/>
      </items>
    </pivotField>
    <pivotField showAll="0"/>
    <pivotField axis="axisRow" showAll="0">
      <items count="7">
        <item x="0"/>
        <item x="2"/>
        <item x="4"/>
        <item x="1"/>
        <item x="3"/>
        <item x="5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Sales (Profit)" fld="10" baseField="0" baseItem="0"/>
  </dataFields>
  <formats count="1">
    <format dxfId="0">
      <pivotArea outline="0" collapsedLevelsAreSubtotals="1" fieldPosition="0">
        <references count="1"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C262EE-94D4-4A43-8A1A-B8975F53A7EB}" name="Table1" displayName="Table1" ref="B390:B740" headerRowDxfId="4" dataDxfId="3">
  <autoFilter ref="B390:B740" xr:uid="{69C262EE-94D4-4A43-8A1A-B8975F53A7EB}"/>
  <sortState xmlns:xlrd2="http://schemas.microsoft.com/office/spreadsheetml/2017/richdata2" ref="B391:B740">
    <sortCondition descending="1" ref="B390:B740"/>
  </sortState>
  <tableColumns count="1">
    <tableColumn id="1" xr3:uid="{89C748DF-B347-4C4E-884F-1D440ECEC717}" name="Total Revenue" totalsRowFunction="count" dataDxfId="2" totalsRowDxfId="1">
      <calculatedColumnFormula>IF(OR(H2="",I2=""),"",H2*I2)</calculatedColumnFormula>
    </tableColumn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740" workbookViewId="0">
      <selection activeCell="C773" sqref="C773"/>
    </sheetView>
  </sheetViews>
  <sheetFormatPr defaultColWidth="14.453125" defaultRowHeight="15" customHeight="1" x14ac:dyDescent="0.35"/>
  <cols>
    <col min="1" max="1" width="11.08984375" customWidth="1"/>
    <col min="2" max="2" width="64.81640625" customWidth="1"/>
    <col min="3" max="3" width="13.1796875" customWidth="1"/>
    <col min="4" max="4" width="12.453125" customWidth="1"/>
    <col min="5" max="5" width="38.6328125" customWidth="1"/>
    <col min="6" max="6" width="13.08984375" customWidth="1"/>
    <col min="7" max="7" width="18.81640625" customWidth="1"/>
    <col min="8" max="8" width="10.81640625" customWidth="1"/>
    <col min="9" max="9" width="9.7265625" customWidth="1"/>
    <col min="10" max="10" width="9.08984375" customWidth="1"/>
    <col min="11" max="11" width="12.7265625" bestFit="1" customWidth="1"/>
    <col min="12" max="12" width="24.26953125" bestFit="1" customWidth="1"/>
    <col min="13" max="13" width="42.6328125" bestFit="1" customWidth="1"/>
    <col min="14" max="14" width="12.7265625" bestFit="1" customWidth="1"/>
    <col min="15" max="15" width="38.6328125" bestFit="1" customWidth="1"/>
    <col min="16" max="26" width="8.7265625" customWidth="1"/>
  </cols>
  <sheetData>
    <row r="1" spans="1:11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0" t="s">
        <v>409</v>
      </c>
    </row>
    <row r="2" spans="1:11" ht="14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  <c r="K2" s="14">
        <f t="shared" ref="K2:K65" si="0">IF(OR(H2="",I2="",J2=""),"",H2*(I2-J2))</f>
        <v>-159.8000000000016</v>
      </c>
    </row>
    <row r="3" spans="1:11" ht="14.5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  <c r="K3" s="14">
        <f t="shared" si="0"/>
        <v>111875.28000000001</v>
      </c>
    </row>
    <row r="4" spans="1:11" ht="14.5" x14ac:dyDescent="0.35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  <c r="K4" s="14">
        <f t="shared" si="0"/>
        <v>67447.199999999997</v>
      </c>
    </row>
    <row r="5" spans="1:11" ht="14.5" x14ac:dyDescent="0.35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  <c r="K5" s="14">
        <f t="shared" si="0"/>
        <v>1973.8799999999994</v>
      </c>
    </row>
    <row r="6" spans="1:11" ht="14.5" x14ac:dyDescent="0.35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  <c r="K6" s="14">
        <f t="shared" si="0"/>
        <v>29419.76000000002</v>
      </c>
    </row>
    <row r="7" spans="1:11" ht="14.5" x14ac:dyDescent="0.35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  <c r="K7" s="14">
        <f t="shared" si="0"/>
        <v>9542.75</v>
      </c>
    </row>
    <row r="8" spans="1:11" ht="14.5" x14ac:dyDescent="0.35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  <c r="K8" s="14">
        <f t="shared" si="0"/>
        <v>-4497.8599999999997</v>
      </c>
    </row>
    <row r="9" spans="1:11" ht="14.5" x14ac:dyDescent="0.35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  <c r="K9" s="14">
        <f t="shared" si="0"/>
        <v>-4719.5999999999894</v>
      </c>
    </row>
    <row r="10" spans="1:11" ht="14.5" x14ac:dyDescent="0.35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  <c r="K10" s="14">
        <f t="shared" si="0"/>
        <v>85793.44</v>
      </c>
    </row>
    <row r="11" spans="1:11" ht="14.5" x14ac:dyDescent="0.35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  <c r="K11" s="14">
        <f t="shared" si="0"/>
        <v>-6413.8799999999992</v>
      </c>
    </row>
    <row r="12" spans="1:11" ht="14.5" x14ac:dyDescent="0.35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  <c r="K12" s="14">
        <f t="shared" si="0"/>
        <v>38142.85</v>
      </c>
    </row>
    <row r="13" spans="1:11" ht="14.5" x14ac:dyDescent="0.35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  <c r="K13" s="14">
        <f t="shared" si="0"/>
        <v>7479.5500000000056</v>
      </c>
    </row>
    <row r="14" spans="1:11" ht="14.5" x14ac:dyDescent="0.35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  <c r="K14" s="14">
        <f t="shared" si="0"/>
        <v>-17618.509999999995</v>
      </c>
    </row>
    <row r="15" spans="1:11" ht="14.5" x14ac:dyDescent="0.35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  <c r="K15" s="14">
        <f t="shared" si="0"/>
        <v>-54412.160000000003</v>
      </c>
    </row>
    <row r="16" spans="1:11" ht="14.5" x14ac:dyDescent="0.35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  <c r="K16" s="14">
        <f t="shared" si="0"/>
        <v>2915.41</v>
      </c>
    </row>
    <row r="17" spans="1:11" ht="14.5" x14ac:dyDescent="0.35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  <c r="K17" s="14">
        <f t="shared" si="0"/>
        <v>49532.260000000009</v>
      </c>
    </row>
    <row r="18" spans="1:11" ht="14.5" x14ac:dyDescent="0.35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  <c r="K18" s="14">
        <f t="shared" si="0"/>
        <v>12155.000000000007</v>
      </c>
    </row>
    <row r="19" spans="1:11" ht="14.5" x14ac:dyDescent="0.35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  <c r="K19" s="14">
        <f t="shared" si="0"/>
        <v>22498.939999999988</v>
      </c>
    </row>
    <row r="20" spans="1:11" ht="14.5" x14ac:dyDescent="0.35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  <c r="K20" s="14">
        <f t="shared" si="0"/>
        <v>5237.3500000000004</v>
      </c>
    </row>
    <row r="21" spans="1:11" ht="15.75" customHeight="1" x14ac:dyDescent="0.35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  <c r="K21" s="14">
        <f t="shared" si="0"/>
        <v>2045.3400000000024</v>
      </c>
    </row>
    <row r="22" spans="1:11" ht="15.75" customHeight="1" x14ac:dyDescent="0.35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  <c r="K22" s="14">
        <f t="shared" si="0"/>
        <v>45057.930000000008</v>
      </c>
    </row>
    <row r="23" spans="1:11" ht="15.75" customHeight="1" x14ac:dyDescent="0.35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  <c r="K23" s="14">
        <f t="shared" si="0"/>
        <v>70084.31</v>
      </c>
    </row>
    <row r="24" spans="1:11" ht="15.75" customHeight="1" x14ac:dyDescent="0.35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  <c r="K24" s="14">
        <f t="shared" si="0"/>
        <v>2095.7600000000002</v>
      </c>
    </row>
    <row r="25" spans="1:11" ht="15.75" customHeight="1" x14ac:dyDescent="0.35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  <c r="K25" s="14">
        <f t="shared" si="0"/>
        <v>99511.75</v>
      </c>
    </row>
    <row r="26" spans="1:11" ht="15.75" customHeight="1" x14ac:dyDescent="0.35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  <c r="K26" s="14">
        <f t="shared" si="0"/>
        <v>38581.75</v>
      </c>
    </row>
    <row r="27" spans="1:11" ht="15.75" customHeight="1" x14ac:dyDescent="0.35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  <c r="K27" s="14">
        <f t="shared" si="0"/>
        <v>-17202</v>
      </c>
    </row>
    <row r="28" spans="1:11" ht="15.75" customHeight="1" x14ac:dyDescent="0.35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  <c r="K28" s="14">
        <f t="shared" si="0"/>
        <v>-1749.2099999999996</v>
      </c>
    </row>
    <row r="29" spans="1:11" ht="15.75" customHeight="1" x14ac:dyDescent="0.35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  <c r="K29" s="14" t="str">
        <f t="shared" si="0"/>
        <v/>
      </c>
    </row>
    <row r="30" spans="1:11" ht="15.75" customHeight="1" x14ac:dyDescent="0.35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  <c r="K30" s="14">
        <f t="shared" si="0"/>
        <v>46201.000000000007</v>
      </c>
    </row>
    <row r="31" spans="1:11" ht="15.75" customHeight="1" x14ac:dyDescent="0.35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  <c r="K31" s="14">
        <f t="shared" si="0"/>
        <v>-18335.7</v>
      </c>
    </row>
    <row r="32" spans="1:11" ht="15.75" customHeight="1" x14ac:dyDescent="0.35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  <c r="K32" s="14">
        <f t="shared" si="0"/>
        <v>5241.0299999999979</v>
      </c>
    </row>
    <row r="33" spans="1:11" ht="15.75" customHeight="1" x14ac:dyDescent="0.35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  <c r="K33" s="14">
        <f t="shared" si="0"/>
        <v>2763.1099999999992</v>
      </c>
    </row>
    <row r="34" spans="1:11" ht="15.75" customHeight="1" x14ac:dyDescent="0.35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  <c r="K34" s="14">
        <f t="shared" si="0"/>
        <v>-25265</v>
      </c>
    </row>
    <row r="35" spans="1:11" ht="15.75" customHeight="1" x14ac:dyDescent="0.35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  <c r="K35" s="14">
        <f t="shared" si="0"/>
        <v>-9024.0899999999983</v>
      </c>
    </row>
    <row r="36" spans="1:11" ht="15.75" customHeight="1" x14ac:dyDescent="0.35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  <c r="K36" s="14">
        <f t="shared" si="0"/>
        <v>18567.060000000001</v>
      </c>
    </row>
    <row r="37" spans="1:11" ht="15.75" customHeight="1" x14ac:dyDescent="0.35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  <c r="K37" s="14">
        <f t="shared" si="0"/>
        <v>-52769.19999999999</v>
      </c>
    </row>
    <row r="38" spans="1:11" ht="15.75" customHeight="1" x14ac:dyDescent="0.35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  <c r="K38" s="14" t="str">
        <f t="shared" si="0"/>
        <v/>
      </c>
    </row>
    <row r="39" spans="1:11" ht="15.75" customHeight="1" x14ac:dyDescent="0.35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  <c r="K39" s="14">
        <f t="shared" si="0"/>
        <v>57064.799999999996</v>
      </c>
    </row>
    <row r="40" spans="1:11" ht="15.75" customHeight="1" x14ac:dyDescent="0.35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  <c r="K40" s="14" t="str">
        <f t="shared" si="0"/>
        <v/>
      </c>
    </row>
    <row r="41" spans="1:11" ht="15.75" customHeight="1" x14ac:dyDescent="0.35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  <c r="K41" s="14">
        <f t="shared" si="0"/>
        <v>9760.3999999999978</v>
      </c>
    </row>
    <row r="42" spans="1:11" ht="15.75" customHeight="1" x14ac:dyDescent="0.35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  <c r="K42" s="14">
        <f t="shared" si="0"/>
        <v>-2759.68</v>
      </c>
    </row>
    <row r="43" spans="1:11" ht="15.75" customHeight="1" x14ac:dyDescent="0.35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  <c r="K43" s="14">
        <f t="shared" si="0"/>
        <v>135555.09</v>
      </c>
    </row>
    <row r="44" spans="1:11" ht="15.75" customHeight="1" x14ac:dyDescent="0.35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  <c r="K44" s="14">
        <f t="shared" si="0"/>
        <v>6071.1</v>
      </c>
    </row>
    <row r="45" spans="1:11" ht="15.75" customHeight="1" x14ac:dyDescent="0.35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  <c r="K45" s="14">
        <f t="shared" si="0"/>
        <v>58942.92</v>
      </c>
    </row>
    <row r="46" spans="1:11" ht="15.75" customHeight="1" x14ac:dyDescent="0.35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  <c r="K46" s="14" t="str">
        <f t="shared" si="0"/>
        <v/>
      </c>
    </row>
    <row r="47" spans="1:11" ht="15.75" customHeight="1" x14ac:dyDescent="0.35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  <c r="K47" s="14">
        <f t="shared" si="0"/>
        <v>54383.22</v>
      </c>
    </row>
    <row r="48" spans="1:11" ht="15.75" customHeight="1" x14ac:dyDescent="0.35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  <c r="K48" s="14">
        <f t="shared" si="0"/>
        <v>-11088.579999999994</v>
      </c>
    </row>
    <row r="49" spans="1:11" ht="15.75" customHeight="1" x14ac:dyDescent="0.35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  <c r="K49" s="14">
        <f t="shared" si="0"/>
        <v>56601.060000000005</v>
      </c>
    </row>
    <row r="50" spans="1:11" ht="15.75" customHeight="1" x14ac:dyDescent="0.35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  <c r="K50" s="14">
        <f t="shared" si="0"/>
        <v>12950.999999999995</v>
      </c>
    </row>
    <row r="51" spans="1:11" ht="15.75" customHeight="1" x14ac:dyDescent="0.35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  <c r="K51" s="14">
        <f t="shared" si="0"/>
        <v>-55404.959999999992</v>
      </c>
    </row>
    <row r="52" spans="1:11" ht="15.75" customHeight="1" x14ac:dyDescent="0.35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  <c r="K52" s="14">
        <f t="shared" si="0"/>
        <v>-51718.95</v>
      </c>
    </row>
    <row r="53" spans="1:11" ht="15.75" customHeight="1" x14ac:dyDescent="0.35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  <c r="K53" s="14">
        <f t="shared" si="0"/>
        <v>34074.269999999997</v>
      </c>
    </row>
    <row r="54" spans="1:11" ht="15.75" customHeight="1" x14ac:dyDescent="0.35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  <c r="K54" s="14">
        <f t="shared" si="0"/>
        <v>-4041.0099999999993</v>
      </c>
    </row>
    <row r="55" spans="1:11" ht="15.75" customHeight="1" x14ac:dyDescent="0.35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  <c r="K55" s="14">
        <f t="shared" si="0"/>
        <v>143127.56</v>
      </c>
    </row>
    <row r="56" spans="1:11" ht="15.75" customHeight="1" x14ac:dyDescent="0.35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  <c r="K56" s="14">
        <f t="shared" si="0"/>
        <v>21772.92</v>
      </c>
    </row>
    <row r="57" spans="1:11" ht="15.75" customHeight="1" x14ac:dyDescent="0.35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  <c r="K57" s="14">
        <f t="shared" si="0"/>
        <v>17291.72</v>
      </c>
    </row>
    <row r="58" spans="1:11" ht="15.75" customHeight="1" x14ac:dyDescent="0.35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  <c r="K58" s="14">
        <f t="shared" si="0"/>
        <v>-525.84000000000219</v>
      </c>
    </row>
    <row r="59" spans="1:11" ht="15.75" customHeight="1" x14ac:dyDescent="0.35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  <c r="K59" s="14">
        <f t="shared" si="0"/>
        <v>4800.66</v>
      </c>
    </row>
    <row r="60" spans="1:11" ht="15.75" customHeight="1" x14ac:dyDescent="0.35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  <c r="K60" s="14">
        <f t="shared" si="0"/>
        <v>-8798.7000000000007</v>
      </c>
    </row>
    <row r="61" spans="1:11" ht="15.75" customHeight="1" x14ac:dyDescent="0.35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  <c r="K61" s="14">
        <f t="shared" si="0"/>
        <v>58497</v>
      </c>
    </row>
    <row r="62" spans="1:11" ht="15.75" customHeight="1" x14ac:dyDescent="0.35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  <c r="K62" s="14">
        <f t="shared" si="0"/>
        <v>17957.159999999996</v>
      </c>
    </row>
    <row r="63" spans="1:11" ht="15.75" customHeight="1" x14ac:dyDescent="0.35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  <c r="K63" s="14">
        <f t="shared" si="0"/>
        <v>-25895.100000000002</v>
      </c>
    </row>
    <row r="64" spans="1:11" ht="15.75" customHeight="1" x14ac:dyDescent="0.35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  <c r="K64" s="14">
        <f t="shared" si="0"/>
        <v>16516.7</v>
      </c>
    </row>
    <row r="65" spans="1:11" ht="15.75" customHeight="1" x14ac:dyDescent="0.35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  <c r="K65" s="14">
        <f t="shared" si="0"/>
        <v>-7684.4700000000012</v>
      </c>
    </row>
    <row r="66" spans="1:11" ht="15.75" customHeight="1" x14ac:dyDescent="0.35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  <c r="K66" s="14">
        <f t="shared" ref="K66:K129" si="1">IF(OR(H66="",I66="",J66=""),"",H66*(I66-J66))</f>
        <v>66638.05</v>
      </c>
    </row>
    <row r="67" spans="1:11" ht="15.75" customHeight="1" x14ac:dyDescent="0.35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  <c r="K67" s="14">
        <f t="shared" si="1"/>
        <v>28968</v>
      </c>
    </row>
    <row r="68" spans="1:11" ht="15.75" customHeight="1" x14ac:dyDescent="0.35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  <c r="K68" s="14">
        <f t="shared" si="1"/>
        <v>19620.96</v>
      </c>
    </row>
    <row r="69" spans="1:11" ht="15.75" customHeight="1" x14ac:dyDescent="0.35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  <c r="K69" s="14">
        <f t="shared" si="1"/>
        <v>97854.24</v>
      </c>
    </row>
    <row r="70" spans="1:11" ht="15.75" customHeight="1" x14ac:dyDescent="0.35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  <c r="K70" s="14">
        <f t="shared" si="1"/>
        <v>-20499.82</v>
      </c>
    </row>
    <row r="71" spans="1:11" ht="15.75" customHeight="1" x14ac:dyDescent="0.35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  <c r="K71" s="14">
        <f t="shared" si="1"/>
        <v>-1094.4000000000001</v>
      </c>
    </row>
    <row r="72" spans="1:11" ht="15.75" customHeight="1" x14ac:dyDescent="0.35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  <c r="K72" s="14">
        <f t="shared" si="1"/>
        <v>21108.3</v>
      </c>
    </row>
    <row r="73" spans="1:11" ht="15.75" customHeight="1" x14ac:dyDescent="0.35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  <c r="K73" s="14">
        <f t="shared" si="1"/>
        <v>-54668.2</v>
      </c>
    </row>
    <row r="74" spans="1:11" ht="15.75" customHeight="1" x14ac:dyDescent="0.35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  <c r="K74" s="14">
        <f t="shared" si="1"/>
        <v>-2294.4599999999991</v>
      </c>
    </row>
    <row r="75" spans="1:11" ht="15.75" customHeight="1" x14ac:dyDescent="0.35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  <c r="K75" s="14">
        <f t="shared" si="1"/>
        <v>14367.040000000006</v>
      </c>
    </row>
    <row r="76" spans="1:11" ht="15.75" customHeight="1" x14ac:dyDescent="0.35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  <c r="K76" s="14">
        <f t="shared" si="1"/>
        <v>51267.18</v>
      </c>
    </row>
    <row r="77" spans="1:11" ht="15.75" customHeight="1" x14ac:dyDescent="0.35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  <c r="K77" s="14">
        <f t="shared" si="1"/>
        <v>9536.4</v>
      </c>
    </row>
    <row r="78" spans="1:11" ht="15.75" customHeight="1" x14ac:dyDescent="0.35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  <c r="K78" s="14">
        <f t="shared" si="1"/>
        <v>-1207.3599999999999</v>
      </c>
    </row>
    <row r="79" spans="1:11" ht="15.75" customHeight="1" x14ac:dyDescent="0.35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  <c r="K79" s="14">
        <f t="shared" si="1"/>
        <v>111642.74999999999</v>
      </c>
    </row>
    <row r="80" spans="1:11" ht="15.75" customHeight="1" x14ac:dyDescent="0.35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  <c r="K80" s="14">
        <f t="shared" si="1"/>
        <v>-41698.410000000011</v>
      </c>
    </row>
    <row r="81" spans="1:11" ht="15.75" customHeight="1" x14ac:dyDescent="0.35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  <c r="K81" s="14" t="str">
        <f t="shared" si="1"/>
        <v/>
      </c>
    </row>
    <row r="82" spans="1:11" ht="15.75" customHeight="1" x14ac:dyDescent="0.35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  <c r="K82" s="14">
        <f t="shared" si="1"/>
        <v>51864.240000000005</v>
      </c>
    </row>
    <row r="83" spans="1:11" ht="15.75" customHeight="1" x14ac:dyDescent="0.35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  <c r="K83" s="14">
        <f t="shared" si="1"/>
        <v>-137269.87999999998</v>
      </c>
    </row>
    <row r="84" spans="1:11" ht="15.75" customHeight="1" x14ac:dyDescent="0.35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  <c r="K84" s="14">
        <f t="shared" si="1"/>
        <v>22236.049999999996</v>
      </c>
    </row>
    <row r="85" spans="1:11" ht="15.75" customHeight="1" x14ac:dyDescent="0.35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  <c r="K85" s="14">
        <f t="shared" si="1"/>
        <v>1873.920000000001</v>
      </c>
    </row>
    <row r="86" spans="1:11" ht="15.75" customHeight="1" x14ac:dyDescent="0.35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  <c r="K86" s="14">
        <f t="shared" si="1"/>
        <v>24744.639999999992</v>
      </c>
    </row>
    <row r="87" spans="1:11" ht="15.75" customHeight="1" x14ac:dyDescent="0.35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  <c r="K87" s="14">
        <f t="shared" si="1"/>
        <v>-8082.6200000000008</v>
      </c>
    </row>
    <row r="88" spans="1:11" ht="15.75" customHeight="1" x14ac:dyDescent="0.35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  <c r="K88" s="14">
        <f t="shared" si="1"/>
        <v>-26473.45</v>
      </c>
    </row>
    <row r="89" spans="1:11" ht="15.75" customHeight="1" x14ac:dyDescent="0.35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  <c r="K89" s="14">
        <f t="shared" si="1"/>
        <v>98800.68</v>
      </c>
    </row>
    <row r="90" spans="1:11" ht="15.75" customHeight="1" x14ac:dyDescent="0.35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  <c r="K90" s="14">
        <f t="shared" si="1"/>
        <v>14564.100000000002</v>
      </c>
    </row>
    <row r="91" spans="1:11" ht="15.75" customHeight="1" x14ac:dyDescent="0.35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  <c r="K91" s="14">
        <f t="shared" si="1"/>
        <v>-18645.660000000003</v>
      </c>
    </row>
    <row r="92" spans="1:11" ht="15.75" customHeight="1" x14ac:dyDescent="0.35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  <c r="K92" s="14">
        <f t="shared" si="1"/>
        <v>61338.05999999999</v>
      </c>
    </row>
    <row r="93" spans="1:11" ht="15.75" customHeight="1" x14ac:dyDescent="0.35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  <c r="K93" s="14" t="str">
        <f t="shared" si="1"/>
        <v/>
      </c>
    </row>
    <row r="94" spans="1:11" ht="15.75" customHeight="1" x14ac:dyDescent="0.35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  <c r="K94" s="14">
        <f t="shared" si="1"/>
        <v>-27800.799999999996</v>
      </c>
    </row>
    <row r="95" spans="1:11" ht="15.75" customHeight="1" x14ac:dyDescent="0.35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  <c r="K95" s="14">
        <f t="shared" si="1"/>
        <v>-40887.720000000008</v>
      </c>
    </row>
    <row r="96" spans="1:11" ht="15.75" customHeight="1" x14ac:dyDescent="0.35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  <c r="K96" s="14">
        <f t="shared" si="1"/>
        <v>14518.230000000001</v>
      </c>
    </row>
    <row r="97" spans="1:11" ht="15.75" customHeight="1" x14ac:dyDescent="0.35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  <c r="K97" s="14">
        <f t="shared" si="1"/>
        <v>4433.4400000000005</v>
      </c>
    </row>
    <row r="98" spans="1:11" ht="15.75" customHeight="1" x14ac:dyDescent="0.35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  <c r="K98" s="14">
        <f t="shared" si="1"/>
        <v>2887.5</v>
      </c>
    </row>
    <row r="99" spans="1:11" ht="15.75" customHeight="1" x14ac:dyDescent="0.35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  <c r="K99" s="14">
        <f t="shared" si="1"/>
        <v>-10743.64</v>
      </c>
    </row>
    <row r="100" spans="1:11" ht="15.75" customHeight="1" x14ac:dyDescent="0.35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  <c r="K100" s="14">
        <f t="shared" si="1"/>
        <v>7567.66</v>
      </c>
    </row>
    <row r="101" spans="1:11" ht="15.75" customHeight="1" x14ac:dyDescent="0.35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  <c r="K101" s="14">
        <f t="shared" si="1"/>
        <v>-7093.02</v>
      </c>
    </row>
    <row r="102" spans="1:11" ht="15.75" customHeight="1" x14ac:dyDescent="0.35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  <c r="K102" s="14">
        <f t="shared" si="1"/>
        <v>-1842.8799999999999</v>
      </c>
    </row>
    <row r="103" spans="1:11" ht="15.75" customHeight="1" x14ac:dyDescent="0.35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  <c r="K103" s="14">
        <f t="shared" si="1"/>
        <v>69353.55</v>
      </c>
    </row>
    <row r="104" spans="1:11" ht="15.75" customHeight="1" x14ac:dyDescent="0.35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  <c r="K104" s="14">
        <f t="shared" si="1"/>
        <v>84510.64</v>
      </c>
    </row>
    <row r="105" spans="1:11" ht="15.75" customHeight="1" x14ac:dyDescent="0.35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  <c r="K105" s="14">
        <f t="shared" si="1"/>
        <v>121677.60000000002</v>
      </c>
    </row>
    <row r="106" spans="1:11" ht="15.75" customHeight="1" x14ac:dyDescent="0.35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  <c r="K106" s="14">
        <f t="shared" si="1"/>
        <v>14997.609999999999</v>
      </c>
    </row>
    <row r="107" spans="1:11" ht="15.75" customHeight="1" x14ac:dyDescent="0.35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  <c r="K107" s="14">
        <f t="shared" si="1"/>
        <v>148515.86000000002</v>
      </c>
    </row>
    <row r="108" spans="1:11" ht="15.75" customHeight="1" x14ac:dyDescent="0.35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  <c r="K108" s="14">
        <f t="shared" si="1"/>
        <v>7815.4199999999955</v>
      </c>
    </row>
    <row r="109" spans="1:11" ht="15.75" customHeight="1" x14ac:dyDescent="0.35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  <c r="K109" s="14">
        <f t="shared" si="1"/>
        <v>26748.480000000003</v>
      </c>
    </row>
    <row r="110" spans="1:11" ht="15.75" customHeight="1" x14ac:dyDescent="0.35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  <c r="K110" s="14">
        <f t="shared" si="1"/>
        <v>-14785.119999999999</v>
      </c>
    </row>
    <row r="111" spans="1:11" ht="15.75" customHeight="1" x14ac:dyDescent="0.35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  <c r="K111" s="14">
        <f t="shared" si="1"/>
        <v>144723.35</v>
      </c>
    </row>
    <row r="112" spans="1:11" ht="15.75" customHeight="1" x14ac:dyDescent="0.35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  <c r="K112" s="14">
        <f t="shared" si="1"/>
        <v>6302.2400000000007</v>
      </c>
    </row>
    <row r="113" spans="1:11" ht="15.75" customHeight="1" x14ac:dyDescent="0.35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  <c r="K113" s="14">
        <f t="shared" si="1"/>
        <v>-95902.56</v>
      </c>
    </row>
    <row r="114" spans="1:11" ht="15.75" customHeight="1" x14ac:dyDescent="0.35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  <c r="K114" s="14">
        <f t="shared" si="1"/>
        <v>-31695.84</v>
      </c>
    </row>
    <row r="115" spans="1:11" ht="15.75" customHeight="1" x14ac:dyDescent="0.35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  <c r="K115" s="14">
        <f t="shared" si="1"/>
        <v>5014.8600000000015</v>
      </c>
    </row>
    <row r="116" spans="1:11" ht="15.75" customHeight="1" x14ac:dyDescent="0.35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  <c r="K116" s="14">
        <f t="shared" si="1"/>
        <v>-50437.639999999992</v>
      </c>
    </row>
    <row r="117" spans="1:11" ht="15.75" customHeight="1" x14ac:dyDescent="0.35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  <c r="K117" s="14">
        <f t="shared" si="1"/>
        <v>-35483.570000000007</v>
      </c>
    </row>
    <row r="118" spans="1:11" ht="15.75" customHeight="1" x14ac:dyDescent="0.35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  <c r="K118" s="14">
        <f t="shared" si="1"/>
        <v>-144977.56999999998</v>
      </c>
    </row>
    <row r="119" spans="1:11" ht="15.75" customHeight="1" x14ac:dyDescent="0.35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  <c r="K119" s="14">
        <f t="shared" si="1"/>
        <v>-33465.839999999997</v>
      </c>
    </row>
    <row r="120" spans="1:11" ht="15.75" customHeight="1" x14ac:dyDescent="0.35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  <c r="K120" s="14">
        <f t="shared" si="1"/>
        <v>-37119.569999999985</v>
      </c>
    </row>
    <row r="121" spans="1:11" ht="15.75" customHeight="1" x14ac:dyDescent="0.35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  <c r="K121" s="14">
        <f t="shared" si="1"/>
        <v>20056.23</v>
      </c>
    </row>
    <row r="122" spans="1:11" ht="15.75" customHeight="1" x14ac:dyDescent="0.35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  <c r="K122" s="14">
        <f t="shared" si="1"/>
        <v>54709.759999999995</v>
      </c>
    </row>
    <row r="123" spans="1:11" ht="15.75" customHeight="1" x14ac:dyDescent="0.35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  <c r="K123" s="14">
        <f t="shared" si="1"/>
        <v>-4991.9100000000035</v>
      </c>
    </row>
    <row r="124" spans="1:11" ht="15.75" customHeight="1" x14ac:dyDescent="0.35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  <c r="K124" s="14">
        <f t="shared" si="1"/>
        <v>-1504.1999999999994</v>
      </c>
    </row>
    <row r="125" spans="1:11" ht="15.75" customHeight="1" x14ac:dyDescent="0.35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  <c r="K125" s="14">
        <f t="shared" si="1"/>
        <v>-150825.24</v>
      </c>
    </row>
    <row r="126" spans="1:11" ht="15.75" customHeight="1" x14ac:dyDescent="0.35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  <c r="K126" s="14">
        <f t="shared" si="1"/>
        <v>38038.979999999996</v>
      </c>
    </row>
    <row r="127" spans="1:11" ht="15.75" customHeight="1" x14ac:dyDescent="0.35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  <c r="K127" s="14">
        <f t="shared" si="1"/>
        <v>76565.45</v>
      </c>
    </row>
    <row r="128" spans="1:11" ht="15.75" customHeight="1" x14ac:dyDescent="0.35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  <c r="K128" s="14">
        <f t="shared" si="1"/>
        <v>-33085.429999999986</v>
      </c>
    </row>
    <row r="129" spans="1:11" ht="15.75" customHeight="1" x14ac:dyDescent="0.35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  <c r="K129" s="14">
        <f t="shared" si="1"/>
        <v>10151.320000000002</v>
      </c>
    </row>
    <row r="130" spans="1:11" ht="15.75" customHeight="1" x14ac:dyDescent="0.35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  <c r="K130" s="14">
        <f t="shared" ref="K130:K193" si="2">IF(OR(H130="",I130="",J130=""),"",H130*(I130-J130))</f>
        <v>-24477.450000000015</v>
      </c>
    </row>
    <row r="131" spans="1:11" ht="15.75" customHeight="1" x14ac:dyDescent="0.35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  <c r="K131" s="14">
        <f t="shared" si="2"/>
        <v>-39103.289999999994</v>
      </c>
    </row>
    <row r="132" spans="1:11" ht="15.75" customHeight="1" x14ac:dyDescent="0.35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  <c r="K132" s="14" t="str">
        <f t="shared" si="2"/>
        <v/>
      </c>
    </row>
    <row r="133" spans="1:11" ht="15.75" customHeight="1" x14ac:dyDescent="0.35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  <c r="K133" s="14">
        <f t="shared" si="2"/>
        <v>-20184.840000000004</v>
      </c>
    </row>
    <row r="134" spans="1:11" ht="15.75" customHeight="1" x14ac:dyDescent="0.35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  <c r="K134" s="14">
        <f t="shared" si="2"/>
        <v>-22202.460000000003</v>
      </c>
    </row>
    <row r="135" spans="1:11" ht="15.75" customHeight="1" x14ac:dyDescent="0.35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  <c r="K135" s="14">
        <f t="shared" si="2"/>
        <v>-423.28000000000003</v>
      </c>
    </row>
    <row r="136" spans="1:11" ht="15.75" customHeight="1" x14ac:dyDescent="0.35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  <c r="K136" s="14">
        <f t="shared" si="2"/>
        <v>2398.829999999999</v>
      </c>
    </row>
    <row r="137" spans="1:11" ht="15.75" customHeight="1" x14ac:dyDescent="0.35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  <c r="K137" s="14">
        <f t="shared" si="2"/>
        <v>77368.45</v>
      </c>
    </row>
    <row r="138" spans="1:11" ht="15.75" customHeight="1" x14ac:dyDescent="0.35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  <c r="K138" s="14">
        <f t="shared" si="2"/>
        <v>-109814.40000000001</v>
      </c>
    </row>
    <row r="139" spans="1:11" ht="15.75" customHeight="1" x14ac:dyDescent="0.35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  <c r="K139" s="14">
        <f t="shared" si="2"/>
        <v>21826.480000000003</v>
      </c>
    </row>
    <row r="140" spans="1:11" ht="15.75" customHeight="1" x14ac:dyDescent="0.35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  <c r="K140" s="14">
        <f t="shared" si="2"/>
        <v>-10942.309999999998</v>
      </c>
    </row>
    <row r="141" spans="1:11" ht="15.75" customHeight="1" x14ac:dyDescent="0.35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  <c r="K141" s="14">
        <f t="shared" si="2"/>
        <v>-19416.239999999998</v>
      </c>
    </row>
    <row r="142" spans="1:11" ht="15.75" customHeight="1" x14ac:dyDescent="0.35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  <c r="K142" s="14">
        <f t="shared" si="2"/>
        <v>3102.1699999999996</v>
      </c>
    </row>
    <row r="143" spans="1:11" ht="15.75" customHeight="1" x14ac:dyDescent="0.35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  <c r="K143" s="14">
        <f t="shared" si="2"/>
        <v>224464.59</v>
      </c>
    </row>
    <row r="144" spans="1:11" ht="15.75" customHeight="1" x14ac:dyDescent="0.35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  <c r="K144" s="14">
        <f t="shared" si="2"/>
        <v>-21621.690000000002</v>
      </c>
    </row>
    <row r="145" spans="1:11" ht="15.75" customHeight="1" x14ac:dyDescent="0.35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  <c r="K145" s="14">
        <f t="shared" si="2"/>
        <v>14937.989999999996</v>
      </c>
    </row>
    <row r="146" spans="1:11" ht="15.75" customHeight="1" x14ac:dyDescent="0.35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  <c r="K146" s="14">
        <f t="shared" si="2"/>
        <v>52973.55</v>
      </c>
    </row>
    <row r="147" spans="1:11" ht="15.75" customHeight="1" x14ac:dyDescent="0.35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  <c r="K147" s="14">
        <f t="shared" si="2"/>
        <v>40828.86</v>
      </c>
    </row>
    <row r="148" spans="1:11" ht="15.75" customHeight="1" x14ac:dyDescent="0.35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  <c r="K148" s="14">
        <f t="shared" si="2"/>
        <v>-500.49000000000007</v>
      </c>
    </row>
    <row r="149" spans="1:11" ht="15.75" customHeight="1" x14ac:dyDescent="0.35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  <c r="K149" s="14">
        <f t="shared" si="2"/>
        <v>-14455.04</v>
      </c>
    </row>
    <row r="150" spans="1:11" ht="15.75" customHeight="1" x14ac:dyDescent="0.35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  <c r="K150" s="14">
        <f t="shared" si="2"/>
        <v>76445.87999999999</v>
      </c>
    </row>
    <row r="151" spans="1:11" ht="15.75" customHeight="1" x14ac:dyDescent="0.35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  <c r="K151" s="14">
        <f t="shared" si="2"/>
        <v>52638.69</v>
      </c>
    </row>
    <row r="152" spans="1:11" ht="15.75" customHeight="1" x14ac:dyDescent="0.35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  <c r="K152" s="14">
        <f t="shared" si="2"/>
        <v>-1942.7899999999934</v>
      </c>
    </row>
    <row r="153" spans="1:11" ht="15.75" customHeight="1" x14ac:dyDescent="0.35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  <c r="K153" s="14">
        <f t="shared" si="2"/>
        <v>-85116.2</v>
      </c>
    </row>
    <row r="154" spans="1:11" ht="15.75" customHeight="1" x14ac:dyDescent="0.35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  <c r="K154" s="14">
        <f t="shared" si="2"/>
        <v>5130.6399999999885</v>
      </c>
    </row>
    <row r="155" spans="1:11" ht="15.75" customHeight="1" x14ac:dyDescent="0.35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  <c r="K155" s="14">
        <f t="shared" si="2"/>
        <v>64872.099999999991</v>
      </c>
    </row>
    <row r="156" spans="1:11" ht="15.75" customHeight="1" x14ac:dyDescent="0.35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  <c r="K156" s="14">
        <f t="shared" si="2"/>
        <v>62037.30000000001</v>
      </c>
    </row>
    <row r="157" spans="1:11" ht="15.75" customHeight="1" x14ac:dyDescent="0.35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  <c r="K157" s="14">
        <f t="shared" si="2"/>
        <v>142904.30000000002</v>
      </c>
    </row>
    <row r="158" spans="1:11" ht="15.75" customHeight="1" x14ac:dyDescent="0.35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  <c r="K158" s="14" t="str">
        <f t="shared" si="2"/>
        <v/>
      </c>
    </row>
    <row r="159" spans="1:11" ht="15.75" customHeight="1" x14ac:dyDescent="0.35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  <c r="K159" s="14">
        <f t="shared" si="2"/>
        <v>98.799999999998704</v>
      </c>
    </row>
    <row r="160" spans="1:11" ht="15.75" customHeight="1" x14ac:dyDescent="0.35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  <c r="K160" s="14">
        <f t="shared" si="2"/>
        <v>105589.43999999999</v>
      </c>
    </row>
    <row r="161" spans="1:11" ht="15.75" customHeight="1" x14ac:dyDescent="0.35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  <c r="K161" s="14">
        <f t="shared" si="2"/>
        <v>280.13999999999947</v>
      </c>
    </row>
    <row r="162" spans="1:11" ht="15.75" customHeight="1" x14ac:dyDescent="0.35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  <c r="K162" s="14">
        <f t="shared" si="2"/>
        <v>7002.7099999999991</v>
      </c>
    </row>
    <row r="163" spans="1:11" ht="15.75" customHeight="1" x14ac:dyDescent="0.35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  <c r="K163" s="14">
        <f t="shared" si="2"/>
        <v>36705.119999999988</v>
      </c>
    </row>
    <row r="164" spans="1:11" ht="15.75" customHeight="1" x14ac:dyDescent="0.35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  <c r="K164" s="14">
        <f t="shared" si="2"/>
        <v>-17361.52</v>
      </c>
    </row>
    <row r="165" spans="1:11" ht="15.75" customHeight="1" x14ac:dyDescent="0.35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  <c r="K165" s="14">
        <f t="shared" si="2"/>
        <v>51195.499999999993</v>
      </c>
    </row>
    <row r="166" spans="1:11" ht="15.75" customHeight="1" x14ac:dyDescent="0.35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  <c r="K166" s="14">
        <f t="shared" si="2"/>
        <v>179384.88</v>
      </c>
    </row>
    <row r="167" spans="1:11" ht="15.75" customHeight="1" x14ac:dyDescent="0.35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  <c r="K167" s="14">
        <f t="shared" si="2"/>
        <v>-6079.3200000000043</v>
      </c>
    </row>
    <row r="168" spans="1:11" ht="15.75" customHeight="1" x14ac:dyDescent="0.35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  <c r="K168" s="14">
        <f t="shared" si="2"/>
        <v>-14593.940000000002</v>
      </c>
    </row>
    <row r="169" spans="1:11" ht="15.75" customHeight="1" x14ac:dyDescent="0.35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  <c r="K169" s="14">
        <f t="shared" si="2"/>
        <v>68040</v>
      </c>
    </row>
    <row r="170" spans="1:11" ht="15.75" customHeight="1" x14ac:dyDescent="0.35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  <c r="K170" s="14">
        <f t="shared" si="2"/>
        <v>-1562.4000000000003</v>
      </c>
    </row>
    <row r="171" spans="1:11" ht="15.75" customHeight="1" x14ac:dyDescent="0.35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  <c r="K171" s="14">
        <f t="shared" si="2"/>
        <v>108628.84000000001</v>
      </c>
    </row>
    <row r="172" spans="1:11" ht="15.75" customHeight="1" x14ac:dyDescent="0.35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  <c r="K172" s="14">
        <f t="shared" si="2"/>
        <v>155498.19</v>
      </c>
    </row>
    <row r="173" spans="1:11" ht="15.75" customHeight="1" x14ac:dyDescent="0.35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  <c r="K173" s="14">
        <f t="shared" si="2"/>
        <v>18611.999999999996</v>
      </c>
    </row>
    <row r="174" spans="1:11" ht="15.75" customHeight="1" x14ac:dyDescent="0.35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  <c r="K174" s="14">
        <f t="shared" si="2"/>
        <v>8687.7000000000025</v>
      </c>
    </row>
    <row r="175" spans="1:11" ht="15.75" customHeight="1" x14ac:dyDescent="0.35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  <c r="K175" s="14">
        <f t="shared" si="2"/>
        <v>1204.4500000000005</v>
      </c>
    </row>
    <row r="176" spans="1:11" ht="15.75" customHeight="1" x14ac:dyDescent="0.35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  <c r="K176" s="14">
        <f t="shared" si="2"/>
        <v>146617.68</v>
      </c>
    </row>
    <row r="177" spans="1:11" ht="15.75" customHeight="1" x14ac:dyDescent="0.35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  <c r="K177" s="14">
        <f t="shared" si="2"/>
        <v>11898.359999999999</v>
      </c>
    </row>
    <row r="178" spans="1:11" ht="15.75" customHeight="1" x14ac:dyDescent="0.35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  <c r="K178" s="14">
        <f t="shared" si="2"/>
        <v>99193.920000000013</v>
      </c>
    </row>
    <row r="179" spans="1:11" ht="15.75" customHeight="1" x14ac:dyDescent="0.35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  <c r="K179" s="14">
        <f t="shared" si="2"/>
        <v>71517.780000000013</v>
      </c>
    </row>
    <row r="180" spans="1:11" ht="15.75" customHeight="1" x14ac:dyDescent="0.35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  <c r="K180" s="14">
        <f t="shared" si="2"/>
        <v>-2087.0400000000009</v>
      </c>
    </row>
    <row r="181" spans="1:11" ht="15.75" customHeight="1" x14ac:dyDescent="0.35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  <c r="K181" s="14">
        <f t="shared" si="2"/>
        <v>-11757.199999999986</v>
      </c>
    </row>
    <row r="182" spans="1:11" ht="15.75" customHeight="1" x14ac:dyDescent="0.35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  <c r="K182" s="14">
        <f t="shared" si="2"/>
        <v>-16020.48</v>
      </c>
    </row>
    <row r="183" spans="1:11" ht="15.75" customHeight="1" x14ac:dyDescent="0.35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  <c r="K183" s="14">
        <f t="shared" si="2"/>
        <v>20456.519999999997</v>
      </c>
    </row>
    <row r="184" spans="1:11" ht="15.75" customHeight="1" x14ac:dyDescent="0.35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  <c r="K184" s="14">
        <f t="shared" si="2"/>
        <v>40259.980000000003</v>
      </c>
    </row>
    <row r="185" spans="1:11" ht="15.75" customHeight="1" x14ac:dyDescent="0.35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  <c r="K185" s="14">
        <f t="shared" si="2"/>
        <v>22217.159999999996</v>
      </c>
    </row>
    <row r="186" spans="1:11" ht="15.75" customHeight="1" x14ac:dyDescent="0.35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  <c r="K186" s="14">
        <f t="shared" si="2"/>
        <v>56087.01</v>
      </c>
    </row>
    <row r="187" spans="1:11" ht="15.75" customHeight="1" x14ac:dyDescent="0.35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  <c r="K187" s="14">
        <f t="shared" si="2"/>
        <v>10778.129999999997</v>
      </c>
    </row>
    <row r="188" spans="1:11" ht="15.75" customHeight="1" x14ac:dyDescent="0.35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  <c r="K188" s="14">
        <f t="shared" si="2"/>
        <v>36202.549999999996</v>
      </c>
    </row>
    <row r="189" spans="1:11" ht="15.75" customHeight="1" x14ac:dyDescent="0.35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  <c r="K189" s="14">
        <f t="shared" si="2"/>
        <v>22718.48</v>
      </c>
    </row>
    <row r="190" spans="1:11" ht="15.75" customHeight="1" x14ac:dyDescent="0.35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  <c r="K190" s="14">
        <f t="shared" si="2"/>
        <v>1907.5500000000054</v>
      </c>
    </row>
    <row r="191" spans="1:11" ht="15.75" customHeight="1" x14ac:dyDescent="0.35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  <c r="K191" s="14">
        <f t="shared" si="2"/>
        <v>-13431.060000000001</v>
      </c>
    </row>
    <row r="192" spans="1:11" ht="15.75" customHeight="1" x14ac:dyDescent="0.35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  <c r="K192" s="14">
        <f t="shared" si="2"/>
        <v>7081.9500000000007</v>
      </c>
    </row>
    <row r="193" spans="1:11" ht="15.75" customHeight="1" x14ac:dyDescent="0.35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  <c r="K193" s="14">
        <f t="shared" si="2"/>
        <v>-10572.12</v>
      </c>
    </row>
    <row r="194" spans="1:11" ht="15.75" customHeight="1" x14ac:dyDescent="0.35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  <c r="K194" s="14">
        <f t="shared" ref="K194:K257" si="3">IF(OR(H194="",I194="",J194=""),"",H194*(I194-J194))</f>
        <v>-1742.0400000000016</v>
      </c>
    </row>
    <row r="195" spans="1:11" ht="15.75" customHeight="1" x14ac:dyDescent="0.35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  <c r="K195" s="14">
        <f t="shared" si="3"/>
        <v>22407.359999999993</v>
      </c>
    </row>
    <row r="196" spans="1:11" ht="15.75" customHeight="1" x14ac:dyDescent="0.35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  <c r="K196" s="14">
        <f t="shared" si="3"/>
        <v>18438.339999999997</v>
      </c>
    </row>
    <row r="197" spans="1:11" ht="15.75" customHeight="1" x14ac:dyDescent="0.35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  <c r="K197" s="14">
        <f t="shared" si="3"/>
        <v>104166.31000000001</v>
      </c>
    </row>
    <row r="198" spans="1:11" ht="15.75" customHeight="1" x14ac:dyDescent="0.35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  <c r="K198" s="14">
        <f t="shared" si="3"/>
        <v>19355</v>
      </c>
    </row>
    <row r="199" spans="1:11" ht="15.75" customHeight="1" x14ac:dyDescent="0.35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  <c r="K199" s="14">
        <f t="shared" si="3"/>
        <v>69644.39</v>
      </c>
    </row>
    <row r="200" spans="1:11" ht="15.75" customHeight="1" x14ac:dyDescent="0.35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  <c r="K200" s="14">
        <f t="shared" si="3"/>
        <v>33270.410000000003</v>
      </c>
    </row>
    <row r="201" spans="1:11" ht="15.75" customHeight="1" x14ac:dyDescent="0.35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  <c r="K201" s="14" t="str">
        <f t="shared" si="3"/>
        <v/>
      </c>
    </row>
    <row r="202" spans="1:11" ht="15.75" customHeight="1" x14ac:dyDescent="0.35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  <c r="K202" s="14">
        <f t="shared" si="3"/>
        <v>-1378.5</v>
      </c>
    </row>
    <row r="203" spans="1:11" ht="15.75" customHeight="1" x14ac:dyDescent="0.35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  <c r="K203" s="14">
        <f t="shared" si="3"/>
        <v>-43608.240000000005</v>
      </c>
    </row>
    <row r="204" spans="1:11" ht="15.75" customHeight="1" x14ac:dyDescent="0.35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  <c r="K204" s="14">
        <f t="shared" si="3"/>
        <v>4975.9600000000046</v>
      </c>
    </row>
    <row r="205" spans="1:11" ht="15.75" customHeight="1" x14ac:dyDescent="0.35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  <c r="K205" s="14">
        <f t="shared" si="3"/>
        <v>13476.119999999997</v>
      </c>
    </row>
    <row r="206" spans="1:11" ht="15.75" customHeight="1" x14ac:dyDescent="0.35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  <c r="K206" s="14">
        <f t="shared" si="3"/>
        <v>-67998.87999999999</v>
      </c>
    </row>
    <row r="207" spans="1:11" ht="15.75" customHeight="1" x14ac:dyDescent="0.35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  <c r="K207" s="14">
        <f t="shared" si="3"/>
        <v>-9260.0099999999966</v>
      </c>
    </row>
    <row r="208" spans="1:11" ht="15.75" customHeight="1" x14ac:dyDescent="0.35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  <c r="K208" s="14">
        <f t="shared" si="3"/>
        <v>14349.449999999997</v>
      </c>
    </row>
    <row r="209" spans="1:11" ht="15.75" customHeight="1" x14ac:dyDescent="0.35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  <c r="K209" s="14">
        <f t="shared" si="3"/>
        <v>46927.92</v>
      </c>
    </row>
    <row r="210" spans="1:11" ht="15.75" customHeight="1" x14ac:dyDescent="0.35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  <c r="K210" s="14">
        <f t="shared" si="3"/>
        <v>151078.5</v>
      </c>
    </row>
    <row r="211" spans="1:11" ht="15.75" customHeight="1" x14ac:dyDescent="0.35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  <c r="K211" s="14">
        <f t="shared" si="3"/>
        <v>61737.06</v>
      </c>
    </row>
    <row r="212" spans="1:11" ht="15.75" customHeight="1" x14ac:dyDescent="0.35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  <c r="K212" s="14">
        <f t="shared" si="3"/>
        <v>43682.76</v>
      </c>
    </row>
    <row r="213" spans="1:11" ht="15.75" customHeight="1" x14ac:dyDescent="0.35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  <c r="K213" s="14">
        <f t="shared" si="3"/>
        <v>29017.940000000002</v>
      </c>
    </row>
    <row r="214" spans="1:11" ht="15.75" customHeight="1" x14ac:dyDescent="0.35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  <c r="K214" s="14">
        <f t="shared" si="3"/>
        <v>15552.71</v>
      </c>
    </row>
    <row r="215" spans="1:11" ht="15.75" customHeight="1" x14ac:dyDescent="0.35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  <c r="K215" s="14">
        <f t="shared" si="3"/>
        <v>-97810.16</v>
      </c>
    </row>
    <row r="216" spans="1:11" ht="15.75" customHeight="1" x14ac:dyDescent="0.35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  <c r="K216" s="14">
        <f t="shared" si="3"/>
        <v>186450.6</v>
      </c>
    </row>
    <row r="217" spans="1:11" ht="15.75" customHeight="1" x14ac:dyDescent="0.35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  <c r="K217" s="14">
        <f t="shared" si="3"/>
        <v>1303.6799999999998</v>
      </c>
    </row>
    <row r="218" spans="1:11" ht="15.75" customHeight="1" x14ac:dyDescent="0.35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  <c r="K218" s="14">
        <f t="shared" si="3"/>
        <v>26433.179999999997</v>
      </c>
    </row>
    <row r="219" spans="1:11" ht="15.75" customHeight="1" x14ac:dyDescent="0.35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  <c r="K219" s="14">
        <f t="shared" si="3"/>
        <v>-128722.61999999998</v>
      </c>
    </row>
    <row r="220" spans="1:11" ht="15.75" customHeight="1" x14ac:dyDescent="0.35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  <c r="K220" s="14">
        <f t="shared" si="3"/>
        <v>7881.0399999999991</v>
      </c>
    </row>
    <row r="221" spans="1:11" ht="15.75" customHeight="1" x14ac:dyDescent="0.35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  <c r="K221" s="14">
        <f t="shared" si="3"/>
        <v>12942.86</v>
      </c>
    </row>
    <row r="222" spans="1:11" ht="15.75" customHeight="1" x14ac:dyDescent="0.35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  <c r="K222" s="14">
        <f t="shared" si="3"/>
        <v>-14772.600000000004</v>
      </c>
    </row>
    <row r="223" spans="1:11" ht="15.75" customHeight="1" x14ac:dyDescent="0.35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  <c r="K223" s="14">
        <f t="shared" si="3"/>
        <v>41630.449999999997</v>
      </c>
    </row>
    <row r="224" spans="1:11" ht="15.75" customHeight="1" x14ac:dyDescent="0.35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  <c r="K224" s="14">
        <f t="shared" si="3"/>
        <v>-836.42999999999961</v>
      </c>
    </row>
    <row r="225" spans="1:11" ht="15.75" customHeight="1" x14ac:dyDescent="0.35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  <c r="K225" s="14">
        <f t="shared" si="3"/>
        <v>10986.059999999998</v>
      </c>
    </row>
    <row r="226" spans="1:11" ht="15.75" customHeight="1" x14ac:dyDescent="0.35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  <c r="K226" s="14">
        <f t="shared" si="3"/>
        <v>61487.999999999993</v>
      </c>
    </row>
    <row r="227" spans="1:11" ht="15.75" customHeight="1" x14ac:dyDescent="0.35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  <c r="K227" s="14">
        <f t="shared" si="3"/>
        <v>48675.270000000004</v>
      </c>
    </row>
    <row r="228" spans="1:11" ht="15.75" customHeight="1" x14ac:dyDescent="0.35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  <c r="K228" s="14">
        <f t="shared" si="3"/>
        <v>8288.64</v>
      </c>
    </row>
    <row r="229" spans="1:11" ht="15.75" customHeight="1" x14ac:dyDescent="0.35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  <c r="K229" s="14" t="str">
        <f t="shared" si="3"/>
        <v/>
      </c>
    </row>
    <row r="230" spans="1:11" ht="15.75" customHeight="1" x14ac:dyDescent="0.35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  <c r="K230" s="14">
        <f t="shared" si="3"/>
        <v>8867.880000000001</v>
      </c>
    </row>
    <row r="231" spans="1:11" ht="15.75" customHeight="1" x14ac:dyDescent="0.35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  <c r="K231" s="14">
        <f t="shared" si="3"/>
        <v>-65037.850000000013</v>
      </c>
    </row>
    <row r="232" spans="1:11" ht="15.75" customHeight="1" x14ac:dyDescent="0.35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  <c r="K232" s="14">
        <f t="shared" si="3"/>
        <v>151266.06000000003</v>
      </c>
    </row>
    <row r="233" spans="1:11" ht="15.75" customHeight="1" x14ac:dyDescent="0.35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  <c r="K233" s="14">
        <f t="shared" si="3"/>
        <v>53353.30000000001</v>
      </c>
    </row>
    <row r="234" spans="1:11" ht="15.75" customHeight="1" x14ac:dyDescent="0.35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  <c r="K234" s="14">
        <f t="shared" si="3"/>
        <v>4032.06</v>
      </c>
    </row>
    <row r="235" spans="1:11" ht="15.75" customHeight="1" x14ac:dyDescent="0.35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  <c r="K235" s="14">
        <f t="shared" si="3"/>
        <v>-82387.439999999988</v>
      </c>
    </row>
    <row r="236" spans="1:11" ht="15.75" customHeight="1" x14ac:dyDescent="0.35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  <c r="K236" s="14">
        <f t="shared" si="3"/>
        <v>2264.5700000000006</v>
      </c>
    </row>
    <row r="237" spans="1:11" ht="15.75" customHeight="1" x14ac:dyDescent="0.35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  <c r="K237" s="14">
        <f t="shared" si="3"/>
        <v>4230.16</v>
      </c>
    </row>
    <row r="238" spans="1:11" ht="15.75" customHeight="1" x14ac:dyDescent="0.35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  <c r="K238" s="14">
        <f t="shared" si="3"/>
        <v>-584.63999999999987</v>
      </c>
    </row>
    <row r="239" spans="1:11" ht="15.75" customHeight="1" x14ac:dyDescent="0.35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  <c r="K239" s="14">
        <f t="shared" si="3"/>
        <v>13170.51</v>
      </c>
    </row>
    <row r="240" spans="1:11" ht="15.75" customHeight="1" x14ac:dyDescent="0.35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  <c r="K240" s="14">
        <f t="shared" si="3"/>
        <v>2688.6299999999997</v>
      </c>
    </row>
    <row r="241" spans="1:11" ht="15.75" customHeight="1" x14ac:dyDescent="0.35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  <c r="K241" s="14">
        <f t="shared" si="3"/>
        <v>-34740.159999999996</v>
      </c>
    </row>
    <row r="242" spans="1:11" ht="15.75" customHeight="1" x14ac:dyDescent="0.35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  <c r="K242" s="14">
        <f t="shared" si="3"/>
        <v>132081.84</v>
      </c>
    </row>
    <row r="243" spans="1:11" ht="15.75" customHeight="1" x14ac:dyDescent="0.35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  <c r="K243" s="14">
        <f t="shared" si="3"/>
        <v>-29466.98</v>
      </c>
    </row>
    <row r="244" spans="1:11" ht="15.75" customHeight="1" x14ac:dyDescent="0.35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  <c r="K244" s="14">
        <f t="shared" si="3"/>
        <v>-127201.38000000002</v>
      </c>
    </row>
    <row r="245" spans="1:11" ht="15.75" customHeight="1" x14ac:dyDescent="0.35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  <c r="K245" s="14">
        <f t="shared" si="3"/>
        <v>70811.48000000001</v>
      </c>
    </row>
    <row r="246" spans="1:11" ht="15.75" customHeight="1" x14ac:dyDescent="0.35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  <c r="K246" s="14">
        <f t="shared" si="3"/>
        <v>-16319.099999999997</v>
      </c>
    </row>
    <row r="247" spans="1:11" ht="15.75" customHeight="1" x14ac:dyDescent="0.35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  <c r="K247" s="14">
        <f t="shared" si="3"/>
        <v>3770.9100000000003</v>
      </c>
    </row>
    <row r="248" spans="1:11" ht="15.75" customHeight="1" x14ac:dyDescent="0.35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  <c r="K248" s="14">
        <f t="shared" si="3"/>
        <v>-50638.25</v>
      </c>
    </row>
    <row r="249" spans="1:11" ht="15.75" customHeight="1" x14ac:dyDescent="0.35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  <c r="K249" s="14">
        <f t="shared" si="3"/>
        <v>-79079.58</v>
      </c>
    </row>
    <row r="250" spans="1:11" ht="15.75" customHeight="1" x14ac:dyDescent="0.35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  <c r="K250" s="14">
        <f t="shared" si="3"/>
        <v>-7413.1199999999881</v>
      </c>
    </row>
    <row r="251" spans="1:11" ht="15.75" customHeight="1" x14ac:dyDescent="0.35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  <c r="K251" s="14">
        <f t="shared" si="3"/>
        <v>-31511.900000000005</v>
      </c>
    </row>
    <row r="252" spans="1:11" ht="15.75" customHeight="1" x14ac:dyDescent="0.35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  <c r="K252" s="14" t="str">
        <f t="shared" si="3"/>
        <v/>
      </c>
    </row>
    <row r="253" spans="1:11" ht="15.75" customHeight="1" x14ac:dyDescent="0.35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  <c r="K253" s="14">
        <f t="shared" si="3"/>
        <v>9396.24</v>
      </c>
    </row>
    <row r="254" spans="1:11" ht="15.75" customHeight="1" x14ac:dyDescent="0.35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  <c r="K254" s="14">
        <f t="shared" si="3"/>
        <v>4009.5</v>
      </c>
    </row>
    <row r="255" spans="1:11" ht="15.75" customHeight="1" x14ac:dyDescent="0.35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G255" s="3">
        <v>45180</v>
      </c>
      <c r="H255" s="2">
        <v>231</v>
      </c>
      <c r="I255" s="2">
        <v>91.51</v>
      </c>
      <c r="J255" s="2">
        <v>303.95</v>
      </c>
      <c r="K255" s="14">
        <f t="shared" si="3"/>
        <v>-49073.64</v>
      </c>
    </row>
    <row r="256" spans="1:11" ht="15.75" customHeight="1" x14ac:dyDescent="0.35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G256" s="3">
        <v>45181</v>
      </c>
      <c r="H256" s="2">
        <v>215</v>
      </c>
      <c r="I256" s="2">
        <v>183.58</v>
      </c>
      <c r="J256" s="2">
        <v>271.99</v>
      </c>
      <c r="K256" s="14">
        <f t="shared" si="3"/>
        <v>-19008.149999999998</v>
      </c>
    </row>
    <row r="257" spans="1:11" ht="15.75" customHeight="1" x14ac:dyDescent="0.35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G257" s="3">
        <v>45182</v>
      </c>
      <c r="H257" s="2">
        <v>464</v>
      </c>
      <c r="I257" s="2">
        <v>453.42</v>
      </c>
      <c r="J257" s="2">
        <v>302.99</v>
      </c>
      <c r="K257" s="14">
        <f t="shared" si="3"/>
        <v>69799.520000000004</v>
      </c>
    </row>
    <row r="258" spans="1:11" ht="15.75" customHeight="1" x14ac:dyDescent="0.35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G258" s="3">
        <v>45183</v>
      </c>
      <c r="H258" s="2">
        <v>282</v>
      </c>
      <c r="J258" s="2">
        <v>337.1</v>
      </c>
      <c r="K258" s="14" t="str">
        <f t="shared" ref="K258:K321" si="4">IF(OR(H258="",I258="",J258=""),"",H258*(I258-J258))</f>
        <v/>
      </c>
    </row>
    <row r="259" spans="1:11" ht="15.75" customHeight="1" x14ac:dyDescent="0.35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G259" s="3">
        <v>45184</v>
      </c>
      <c r="H259" s="2">
        <v>391</v>
      </c>
      <c r="I259" s="2">
        <v>280.54000000000002</v>
      </c>
      <c r="J259" s="2">
        <v>189.19</v>
      </c>
      <c r="K259" s="14">
        <f t="shared" si="4"/>
        <v>35717.850000000006</v>
      </c>
    </row>
    <row r="260" spans="1:11" ht="15.75" customHeight="1" x14ac:dyDescent="0.35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G260" s="3">
        <v>45185</v>
      </c>
      <c r="H260" s="2">
        <v>245</v>
      </c>
      <c r="I260" s="2">
        <v>131.54</v>
      </c>
      <c r="J260" s="2">
        <v>201.82</v>
      </c>
      <c r="K260" s="14">
        <f t="shared" si="4"/>
        <v>-17218.599999999999</v>
      </c>
    </row>
    <row r="261" spans="1:11" ht="15.75" customHeight="1" x14ac:dyDescent="0.35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G261" s="3">
        <v>45186</v>
      </c>
      <c r="H261" s="2">
        <v>349</v>
      </c>
      <c r="I261" s="2">
        <v>154.52000000000001</v>
      </c>
      <c r="J261" s="2">
        <v>51.64</v>
      </c>
      <c r="K261" s="14">
        <f t="shared" si="4"/>
        <v>35905.120000000003</v>
      </c>
    </row>
    <row r="262" spans="1:11" ht="15.75" customHeight="1" x14ac:dyDescent="0.35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G262" s="3">
        <v>45187</v>
      </c>
      <c r="H262" s="2">
        <v>237</v>
      </c>
      <c r="J262" s="2">
        <v>155.38</v>
      </c>
      <c r="K262" s="14" t="str">
        <f t="shared" si="4"/>
        <v/>
      </c>
    </row>
    <row r="263" spans="1:11" ht="15.75" customHeight="1" x14ac:dyDescent="0.35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G263" s="3">
        <v>45188</v>
      </c>
      <c r="H263" s="2">
        <v>18</v>
      </c>
      <c r="I263" s="2">
        <v>426.33</v>
      </c>
      <c r="J263" s="2">
        <v>258.06</v>
      </c>
      <c r="K263" s="14">
        <f t="shared" si="4"/>
        <v>3028.8599999999997</v>
      </c>
    </row>
    <row r="264" spans="1:11" ht="15.75" customHeight="1" x14ac:dyDescent="0.35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G264" s="3">
        <v>45189</v>
      </c>
      <c r="H264" s="2">
        <v>175</v>
      </c>
      <c r="I264" s="2">
        <v>337.36</v>
      </c>
      <c r="J264" s="2">
        <v>312.60000000000002</v>
      </c>
      <c r="K264" s="14">
        <f t="shared" si="4"/>
        <v>4332.9999999999982</v>
      </c>
    </row>
    <row r="265" spans="1:11" ht="15.75" customHeight="1" x14ac:dyDescent="0.35">
      <c r="A265" s="2" t="s">
        <v>292</v>
      </c>
      <c r="B265" s="2" t="s">
        <v>22</v>
      </c>
      <c r="C265" s="2" t="s">
        <v>18</v>
      </c>
      <c r="E265" s="2" t="s">
        <v>14</v>
      </c>
      <c r="G265" s="3">
        <v>45190</v>
      </c>
      <c r="H265" s="2">
        <v>441</v>
      </c>
      <c r="I265" s="2">
        <v>405.72</v>
      </c>
      <c r="J265" s="2">
        <v>88.45</v>
      </c>
      <c r="K265" s="14">
        <f t="shared" si="4"/>
        <v>139916.07</v>
      </c>
    </row>
    <row r="266" spans="1:11" ht="15.75" customHeight="1" x14ac:dyDescent="0.35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G266" s="3">
        <v>45191</v>
      </c>
      <c r="H266" s="2">
        <v>453</v>
      </c>
      <c r="I266" s="2">
        <v>384.49</v>
      </c>
      <c r="J266" s="2">
        <v>56.85</v>
      </c>
      <c r="K266" s="14">
        <f t="shared" si="4"/>
        <v>148420.91999999998</v>
      </c>
    </row>
    <row r="267" spans="1:11" ht="15.75" customHeight="1" x14ac:dyDescent="0.35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G267" s="3">
        <v>45192</v>
      </c>
      <c r="H267" s="2">
        <v>328</v>
      </c>
      <c r="I267" s="2">
        <v>79.099999999999994</v>
      </c>
      <c r="J267" s="2">
        <v>265.89</v>
      </c>
      <c r="K267" s="14">
        <f t="shared" si="4"/>
        <v>-61267.119999999995</v>
      </c>
    </row>
    <row r="268" spans="1:11" ht="15.75" customHeight="1" x14ac:dyDescent="0.35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G268" s="3">
        <v>45193</v>
      </c>
      <c r="H268" s="2">
        <v>223</v>
      </c>
      <c r="I268" s="2">
        <v>214.85</v>
      </c>
      <c r="J268" s="2">
        <v>2.75</v>
      </c>
      <c r="K268" s="14">
        <f t="shared" si="4"/>
        <v>47298.299999999996</v>
      </c>
    </row>
    <row r="269" spans="1:11" ht="15.75" customHeight="1" x14ac:dyDescent="0.35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G269" s="3">
        <v>45194</v>
      </c>
      <c r="H269" s="2">
        <v>126</v>
      </c>
      <c r="I269" s="2">
        <v>80.73</v>
      </c>
      <c r="J269" s="2">
        <v>72.989999999999995</v>
      </c>
      <c r="K269" s="14">
        <f t="shared" si="4"/>
        <v>975.24000000000115</v>
      </c>
    </row>
    <row r="270" spans="1:11" ht="15.75" customHeight="1" x14ac:dyDescent="0.35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G270" s="3">
        <v>45195</v>
      </c>
      <c r="H270" s="2">
        <v>395</v>
      </c>
      <c r="I270" s="2">
        <v>121.44</v>
      </c>
      <c r="J270" s="2">
        <v>13.57</v>
      </c>
      <c r="K270" s="14">
        <f t="shared" si="4"/>
        <v>42608.65</v>
      </c>
    </row>
    <row r="271" spans="1:11" ht="15.75" customHeight="1" x14ac:dyDescent="0.35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G271" s="3">
        <v>45196</v>
      </c>
      <c r="H271" s="2">
        <v>353</v>
      </c>
      <c r="I271" s="2">
        <v>435.28</v>
      </c>
      <c r="J271" s="2">
        <v>68.42</v>
      </c>
      <c r="K271" s="14">
        <f t="shared" si="4"/>
        <v>129501.57999999999</v>
      </c>
    </row>
    <row r="272" spans="1:11" ht="15.75" customHeight="1" x14ac:dyDescent="0.35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G272" s="3">
        <v>45197</v>
      </c>
      <c r="H272" s="2">
        <v>81</v>
      </c>
      <c r="I272" s="2">
        <v>239.08</v>
      </c>
      <c r="J272" s="2">
        <v>74.17</v>
      </c>
      <c r="K272" s="14">
        <f t="shared" si="4"/>
        <v>13357.710000000003</v>
      </c>
    </row>
    <row r="273" spans="1:11" ht="15.75" customHeight="1" x14ac:dyDescent="0.35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G273" s="3">
        <v>45198</v>
      </c>
      <c r="H273" s="2">
        <v>404</v>
      </c>
      <c r="I273" s="2">
        <v>270</v>
      </c>
      <c r="J273" s="2">
        <v>156.29</v>
      </c>
      <c r="K273" s="14">
        <f t="shared" si="4"/>
        <v>45938.840000000004</v>
      </c>
    </row>
    <row r="274" spans="1:11" ht="15.75" customHeight="1" x14ac:dyDescent="0.35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G274" s="3">
        <v>45199</v>
      </c>
      <c r="H274" s="2">
        <v>73</v>
      </c>
      <c r="I274" s="2">
        <v>93.33</v>
      </c>
      <c r="J274" s="2">
        <v>162.13</v>
      </c>
      <c r="K274" s="14">
        <f t="shared" si="4"/>
        <v>-5022.3999999999996</v>
      </c>
    </row>
    <row r="275" spans="1:11" ht="15.75" customHeight="1" x14ac:dyDescent="0.35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G275" s="3">
        <v>45200</v>
      </c>
      <c r="H275" s="2">
        <v>214</v>
      </c>
      <c r="I275" s="2">
        <v>159.57</v>
      </c>
      <c r="J275" s="2">
        <v>349.96</v>
      </c>
      <c r="K275" s="14">
        <f t="shared" si="4"/>
        <v>-40743.46</v>
      </c>
    </row>
    <row r="276" spans="1:11" ht="15.75" customHeight="1" x14ac:dyDescent="0.35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G276" s="3">
        <v>45201</v>
      </c>
      <c r="H276" s="2">
        <v>218</v>
      </c>
      <c r="I276" s="2">
        <v>118.97</v>
      </c>
      <c r="J276" s="2">
        <v>205.02</v>
      </c>
      <c r="K276" s="14">
        <f t="shared" si="4"/>
        <v>-18758.900000000001</v>
      </c>
    </row>
    <row r="277" spans="1:11" ht="15.75" customHeight="1" x14ac:dyDescent="0.35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G277" s="3">
        <v>45202</v>
      </c>
      <c r="H277" s="2">
        <v>81</v>
      </c>
      <c r="I277" s="2">
        <v>107.06</v>
      </c>
      <c r="J277" s="2">
        <v>289.92</v>
      </c>
      <c r="K277" s="14">
        <f t="shared" si="4"/>
        <v>-14811.660000000002</v>
      </c>
    </row>
    <row r="278" spans="1:11" ht="15.75" customHeight="1" x14ac:dyDescent="0.35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G278" s="3">
        <v>45203</v>
      </c>
      <c r="H278" s="2">
        <v>286</v>
      </c>
      <c r="I278" s="2">
        <v>320.79000000000002</v>
      </c>
      <c r="J278" s="2">
        <v>43.45</v>
      </c>
      <c r="K278" s="14">
        <f t="shared" si="4"/>
        <v>79319.240000000005</v>
      </c>
    </row>
    <row r="279" spans="1:11" ht="15.75" customHeight="1" x14ac:dyDescent="0.35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G279" s="3">
        <v>45204</v>
      </c>
      <c r="H279" s="2">
        <v>283</v>
      </c>
      <c r="I279" s="2">
        <v>132.16</v>
      </c>
      <c r="J279" s="2">
        <v>91.72</v>
      </c>
      <c r="K279" s="14">
        <f t="shared" si="4"/>
        <v>11444.519999999999</v>
      </c>
    </row>
    <row r="280" spans="1:11" ht="15.75" customHeight="1" x14ac:dyDescent="0.35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G280" s="3">
        <v>45205</v>
      </c>
      <c r="H280" s="2">
        <v>487</v>
      </c>
      <c r="I280" s="2">
        <v>317.85000000000002</v>
      </c>
      <c r="J280" s="2">
        <v>281.77</v>
      </c>
      <c r="K280" s="14">
        <f t="shared" si="4"/>
        <v>17570.960000000021</v>
      </c>
    </row>
    <row r="281" spans="1:11" ht="15.75" customHeight="1" x14ac:dyDescent="0.35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G281" s="3">
        <v>45206</v>
      </c>
      <c r="H281" s="2">
        <v>329</v>
      </c>
      <c r="I281" s="2">
        <v>33.94</v>
      </c>
      <c r="J281" s="2">
        <v>23.02</v>
      </c>
      <c r="K281" s="14">
        <f t="shared" si="4"/>
        <v>3592.6799999999994</v>
      </c>
    </row>
    <row r="282" spans="1:11" ht="15.75" customHeight="1" x14ac:dyDescent="0.35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G282" s="3">
        <v>45207</v>
      </c>
      <c r="H282" s="2">
        <v>347</v>
      </c>
      <c r="I282" s="2">
        <v>75.180000000000007</v>
      </c>
      <c r="J282" s="2">
        <v>195.67</v>
      </c>
      <c r="K282" s="14">
        <f t="shared" si="4"/>
        <v>-41810.029999999992</v>
      </c>
    </row>
    <row r="283" spans="1:11" ht="15.75" customHeight="1" x14ac:dyDescent="0.35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G283" s="3">
        <v>45208</v>
      </c>
      <c r="H283" s="2">
        <v>375</v>
      </c>
      <c r="I283" s="2">
        <v>140.9</v>
      </c>
      <c r="J283" s="2">
        <v>240.55</v>
      </c>
      <c r="K283" s="14">
        <f t="shared" si="4"/>
        <v>-37368.75</v>
      </c>
    </row>
    <row r="284" spans="1:11" ht="15.75" customHeight="1" x14ac:dyDescent="0.35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G284" s="3">
        <v>45209</v>
      </c>
      <c r="H284" s="2">
        <v>104</v>
      </c>
      <c r="I284" s="2">
        <v>300.54000000000002</v>
      </c>
      <c r="J284" s="2">
        <v>241.65</v>
      </c>
      <c r="K284" s="14">
        <f t="shared" si="4"/>
        <v>6124.5600000000013</v>
      </c>
    </row>
    <row r="285" spans="1:11" ht="15.75" customHeight="1" x14ac:dyDescent="0.35">
      <c r="A285" s="2" t="s">
        <v>312</v>
      </c>
      <c r="B285" s="2" t="s">
        <v>11</v>
      </c>
      <c r="C285" s="2" t="s">
        <v>12</v>
      </c>
      <c r="E285" s="2" t="s">
        <v>14</v>
      </c>
      <c r="G285" s="3">
        <v>45210</v>
      </c>
      <c r="H285" s="2">
        <v>175</v>
      </c>
      <c r="I285" s="2">
        <v>339.54</v>
      </c>
      <c r="J285" s="2">
        <v>11.13</v>
      </c>
      <c r="K285" s="14">
        <f t="shared" si="4"/>
        <v>57471.750000000007</v>
      </c>
    </row>
    <row r="286" spans="1:11" ht="15.75" customHeight="1" x14ac:dyDescent="0.35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G286" s="3">
        <v>45211</v>
      </c>
      <c r="H286" s="2">
        <v>41</v>
      </c>
      <c r="I286" s="2">
        <v>224.14</v>
      </c>
      <c r="J286" s="2">
        <v>130.19999999999999</v>
      </c>
      <c r="K286" s="14">
        <f t="shared" si="4"/>
        <v>3851.54</v>
      </c>
    </row>
    <row r="287" spans="1:11" ht="15.75" customHeight="1" x14ac:dyDescent="0.35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G287" s="3">
        <v>45212</v>
      </c>
      <c r="H287" s="2">
        <v>20</v>
      </c>
      <c r="I287" s="2">
        <v>225.67</v>
      </c>
      <c r="J287" s="2">
        <v>255.32</v>
      </c>
      <c r="K287" s="14">
        <f t="shared" si="4"/>
        <v>-593.00000000000011</v>
      </c>
    </row>
    <row r="288" spans="1:11" ht="15.75" customHeight="1" x14ac:dyDescent="0.35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G288" s="3">
        <v>45213</v>
      </c>
      <c r="H288" s="2">
        <v>310</v>
      </c>
      <c r="I288" s="2">
        <v>363.64</v>
      </c>
      <c r="J288" s="2">
        <v>61.3</v>
      </c>
      <c r="K288" s="14">
        <f t="shared" si="4"/>
        <v>93725.4</v>
      </c>
    </row>
    <row r="289" spans="1:11" ht="15.75" customHeight="1" x14ac:dyDescent="0.35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G289" s="3">
        <v>45214</v>
      </c>
      <c r="H289" s="2">
        <v>226</v>
      </c>
      <c r="J289" s="2">
        <v>278.77999999999997</v>
      </c>
      <c r="K289" s="14" t="str">
        <f t="shared" si="4"/>
        <v/>
      </c>
    </row>
    <row r="290" spans="1:11" ht="15.75" customHeight="1" x14ac:dyDescent="0.35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G290" s="3">
        <v>45215</v>
      </c>
      <c r="I290" s="2">
        <v>173.84</v>
      </c>
      <c r="J290" s="2">
        <v>298.88</v>
      </c>
      <c r="K290" s="14" t="str">
        <f t="shared" si="4"/>
        <v/>
      </c>
    </row>
    <row r="291" spans="1:11" ht="15.75" customHeight="1" x14ac:dyDescent="0.35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G291" s="3">
        <v>45216</v>
      </c>
      <c r="H291" s="2">
        <v>111</v>
      </c>
      <c r="I291" s="2">
        <v>410.26</v>
      </c>
      <c r="J291" s="2">
        <v>392.82</v>
      </c>
      <c r="K291" s="14">
        <f t="shared" si="4"/>
        <v>1935.8399999999997</v>
      </c>
    </row>
    <row r="292" spans="1:11" ht="15.75" customHeight="1" x14ac:dyDescent="0.35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G292" s="3">
        <v>45217</v>
      </c>
      <c r="H292" s="2">
        <v>434</v>
      </c>
      <c r="I292" s="2">
        <v>303.58999999999997</v>
      </c>
      <c r="J292" s="2">
        <v>85.52</v>
      </c>
      <c r="K292" s="14">
        <f t="shared" si="4"/>
        <v>94642.37999999999</v>
      </c>
    </row>
    <row r="293" spans="1:11" ht="15.75" customHeight="1" x14ac:dyDescent="0.35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G293" s="3">
        <v>45218</v>
      </c>
      <c r="H293" s="2">
        <v>401</v>
      </c>
      <c r="I293" s="2">
        <v>171.93</v>
      </c>
      <c r="J293" s="2">
        <v>330.4</v>
      </c>
      <c r="K293" s="14">
        <f t="shared" si="4"/>
        <v>-63546.469999999987</v>
      </c>
    </row>
    <row r="294" spans="1:11" ht="15.75" customHeight="1" x14ac:dyDescent="0.35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G294" s="3">
        <v>45219</v>
      </c>
      <c r="H294" s="2">
        <v>276</v>
      </c>
      <c r="I294" s="2">
        <v>453.23</v>
      </c>
      <c r="J294" s="2">
        <v>209.08</v>
      </c>
      <c r="K294" s="14">
        <f t="shared" si="4"/>
        <v>67385.400000000009</v>
      </c>
    </row>
    <row r="295" spans="1:11" ht="15.75" customHeight="1" x14ac:dyDescent="0.35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G295" s="3">
        <v>45220</v>
      </c>
      <c r="I295" s="2">
        <v>387.45</v>
      </c>
      <c r="J295" s="2">
        <v>150.63999999999999</v>
      </c>
      <c r="K295" s="14" t="str">
        <f t="shared" si="4"/>
        <v/>
      </c>
    </row>
    <row r="296" spans="1:11" ht="15.75" customHeight="1" x14ac:dyDescent="0.35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G296" s="3">
        <v>45221</v>
      </c>
      <c r="H296" s="2">
        <v>188</v>
      </c>
      <c r="I296" s="2">
        <v>136.12</v>
      </c>
      <c r="J296" s="2">
        <v>50.71</v>
      </c>
      <c r="K296" s="14">
        <f t="shared" si="4"/>
        <v>16057.08</v>
      </c>
    </row>
    <row r="297" spans="1:11" ht="15.75" customHeight="1" x14ac:dyDescent="0.35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G297" s="3">
        <v>45222</v>
      </c>
      <c r="H297" s="2">
        <v>97</v>
      </c>
      <c r="I297" s="2">
        <v>324.42</v>
      </c>
      <c r="J297" s="2">
        <v>294.73</v>
      </c>
      <c r="K297" s="14">
        <f t="shared" si="4"/>
        <v>2879.93</v>
      </c>
    </row>
    <row r="298" spans="1:11" ht="15.75" customHeight="1" x14ac:dyDescent="0.35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G298" s="3">
        <v>45223</v>
      </c>
      <c r="H298" s="2">
        <v>50</v>
      </c>
      <c r="I298" s="2">
        <v>299.89999999999998</v>
      </c>
      <c r="J298" s="2">
        <v>95.87</v>
      </c>
      <c r="K298" s="14">
        <f t="shared" si="4"/>
        <v>10201.499999999998</v>
      </c>
    </row>
    <row r="299" spans="1:11" ht="15.75" customHeight="1" x14ac:dyDescent="0.35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G299" s="3">
        <v>45224</v>
      </c>
      <c r="H299" s="2">
        <v>410</v>
      </c>
      <c r="I299" s="2">
        <v>203.59</v>
      </c>
      <c r="J299" s="2">
        <v>149.83000000000001</v>
      </c>
      <c r="K299" s="14">
        <f t="shared" si="4"/>
        <v>22041.599999999995</v>
      </c>
    </row>
    <row r="300" spans="1:11" ht="15.75" customHeight="1" x14ac:dyDescent="0.35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G300" s="3">
        <v>45225</v>
      </c>
      <c r="H300" s="2">
        <v>85</v>
      </c>
      <c r="I300" s="2">
        <v>186.64</v>
      </c>
      <c r="J300" s="2">
        <v>26.89</v>
      </c>
      <c r="K300" s="14">
        <f t="shared" si="4"/>
        <v>13578.75</v>
      </c>
    </row>
    <row r="301" spans="1:11" ht="15.75" customHeight="1" x14ac:dyDescent="0.35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G301" s="3">
        <v>45226</v>
      </c>
      <c r="H301" s="2">
        <v>386</v>
      </c>
      <c r="I301" s="2">
        <v>175.06</v>
      </c>
      <c r="J301" s="2">
        <v>320.94</v>
      </c>
      <c r="K301" s="14">
        <f t="shared" si="4"/>
        <v>-56309.68</v>
      </c>
    </row>
    <row r="302" spans="1:11" ht="15.75" customHeight="1" x14ac:dyDescent="0.35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G302" s="3">
        <v>45227</v>
      </c>
      <c r="H302" s="2">
        <v>55</v>
      </c>
      <c r="I302" s="2">
        <v>310.49</v>
      </c>
      <c r="J302" s="2">
        <v>307.10000000000002</v>
      </c>
      <c r="K302" s="14">
        <f t="shared" si="4"/>
        <v>186.44999999999925</v>
      </c>
    </row>
    <row r="303" spans="1:11" ht="15.75" customHeight="1" x14ac:dyDescent="0.35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G303" s="3">
        <v>45228</v>
      </c>
      <c r="H303" s="2">
        <v>169</v>
      </c>
      <c r="I303" s="2">
        <v>223.99</v>
      </c>
      <c r="J303" s="2">
        <v>293.98</v>
      </c>
      <c r="K303" s="14">
        <f t="shared" si="4"/>
        <v>-11828.310000000001</v>
      </c>
    </row>
    <row r="304" spans="1:11" ht="15.75" customHeight="1" x14ac:dyDescent="0.35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G304" s="3">
        <v>45229</v>
      </c>
      <c r="H304" s="2">
        <v>472</v>
      </c>
      <c r="I304" s="2">
        <v>416.77</v>
      </c>
      <c r="J304" s="2">
        <v>121.18</v>
      </c>
      <c r="K304" s="14">
        <f t="shared" si="4"/>
        <v>139518.47999999998</v>
      </c>
    </row>
    <row r="305" spans="1:11" ht="15.75" customHeight="1" x14ac:dyDescent="0.35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G305" s="3">
        <v>45230</v>
      </c>
      <c r="H305" s="2">
        <v>89</v>
      </c>
      <c r="I305" s="2">
        <v>336.45</v>
      </c>
      <c r="J305" s="2">
        <v>71.05</v>
      </c>
      <c r="K305" s="14">
        <f t="shared" si="4"/>
        <v>23620.6</v>
      </c>
    </row>
    <row r="306" spans="1:11" ht="15.75" customHeight="1" x14ac:dyDescent="0.35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G306" s="3">
        <v>45231</v>
      </c>
      <c r="H306" s="2">
        <v>319</v>
      </c>
      <c r="I306" s="2">
        <v>39.619999999999997</v>
      </c>
      <c r="J306" s="2">
        <v>255.75</v>
      </c>
      <c r="K306" s="14">
        <f t="shared" si="4"/>
        <v>-68945.47</v>
      </c>
    </row>
    <row r="307" spans="1:11" ht="15.75" customHeight="1" x14ac:dyDescent="0.35">
      <c r="A307" s="2" t="s">
        <v>334</v>
      </c>
      <c r="B307" s="2" t="s">
        <v>22</v>
      </c>
      <c r="C307" s="2" t="s">
        <v>12</v>
      </c>
      <c r="E307" s="2" t="s">
        <v>14</v>
      </c>
      <c r="G307" s="3">
        <v>45232</v>
      </c>
      <c r="H307" s="2">
        <v>95</v>
      </c>
      <c r="I307" s="2">
        <v>321.88</v>
      </c>
      <c r="J307" s="2">
        <v>199.47</v>
      </c>
      <c r="K307" s="14">
        <f t="shared" si="4"/>
        <v>11628.949999999999</v>
      </c>
    </row>
    <row r="308" spans="1:11" ht="15.75" customHeight="1" x14ac:dyDescent="0.35">
      <c r="A308" s="2" t="s">
        <v>335</v>
      </c>
      <c r="B308" s="2" t="s">
        <v>17</v>
      </c>
      <c r="C308" s="2" t="s">
        <v>31</v>
      </c>
      <c r="E308" s="2" t="s">
        <v>24</v>
      </c>
      <c r="G308" s="3">
        <v>45233</v>
      </c>
      <c r="H308" s="2">
        <v>101</v>
      </c>
      <c r="I308" s="2">
        <v>139.22</v>
      </c>
      <c r="J308" s="2">
        <v>72.94</v>
      </c>
      <c r="K308" s="14">
        <f t="shared" si="4"/>
        <v>6694.28</v>
      </c>
    </row>
    <row r="309" spans="1:11" ht="15.75" customHeight="1" x14ac:dyDescent="0.35">
      <c r="A309" s="2" t="s">
        <v>336</v>
      </c>
      <c r="B309" s="2" t="s">
        <v>48</v>
      </c>
      <c r="C309" s="2" t="s">
        <v>50</v>
      </c>
      <c r="E309" s="2" t="s">
        <v>14</v>
      </c>
      <c r="G309" s="3">
        <v>45234</v>
      </c>
      <c r="H309" s="2">
        <v>157</v>
      </c>
      <c r="J309" s="2">
        <v>274.99</v>
      </c>
      <c r="K309" s="14" t="str">
        <f t="shared" si="4"/>
        <v/>
      </c>
    </row>
    <row r="310" spans="1:11" ht="15.75" customHeight="1" x14ac:dyDescent="0.35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G310" s="3">
        <v>45235</v>
      </c>
      <c r="H310" s="2">
        <v>170</v>
      </c>
      <c r="I310" s="2">
        <v>341.67</v>
      </c>
      <c r="J310" s="2">
        <v>396.47</v>
      </c>
      <c r="K310" s="14">
        <f t="shared" si="4"/>
        <v>-9316.0000000000018</v>
      </c>
    </row>
    <row r="311" spans="1:11" ht="15.75" customHeight="1" x14ac:dyDescent="0.35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G311" s="3">
        <v>45236</v>
      </c>
      <c r="H311" s="2">
        <v>211</v>
      </c>
      <c r="I311" s="2">
        <v>119.26</v>
      </c>
      <c r="J311" s="2">
        <v>299.39</v>
      </c>
      <c r="K311" s="14">
        <f t="shared" si="4"/>
        <v>-38007.43</v>
      </c>
    </row>
    <row r="312" spans="1:11" ht="15.75" customHeight="1" x14ac:dyDescent="0.35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G312" s="3">
        <v>45237</v>
      </c>
      <c r="H312" s="2">
        <v>433</v>
      </c>
      <c r="I312" s="2">
        <v>231.15</v>
      </c>
      <c r="J312" s="2">
        <v>296.51</v>
      </c>
      <c r="K312" s="14">
        <f t="shared" si="4"/>
        <v>-28300.879999999994</v>
      </c>
    </row>
    <row r="313" spans="1:11" ht="15.75" customHeight="1" x14ac:dyDescent="0.35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G313" s="3">
        <v>45238</v>
      </c>
      <c r="H313" s="2">
        <v>425</v>
      </c>
      <c r="I313" s="2">
        <v>99.21</v>
      </c>
      <c r="J313" s="2">
        <v>380.22</v>
      </c>
      <c r="K313" s="14">
        <f t="shared" si="4"/>
        <v>-119429.25000000001</v>
      </c>
    </row>
    <row r="314" spans="1:11" ht="15.75" customHeight="1" x14ac:dyDescent="0.35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G314" s="3">
        <v>45239</v>
      </c>
      <c r="H314" s="2">
        <v>251</v>
      </c>
      <c r="I314" s="2">
        <v>30.91</v>
      </c>
      <c r="J314" s="2">
        <v>82.77</v>
      </c>
      <c r="K314" s="14">
        <f t="shared" si="4"/>
        <v>-13016.86</v>
      </c>
    </row>
    <row r="315" spans="1:11" ht="15.75" customHeight="1" x14ac:dyDescent="0.35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G315" s="3">
        <v>45240</v>
      </c>
      <c r="I315" s="2">
        <v>192.35</v>
      </c>
      <c r="J315" s="2">
        <v>227.09</v>
      </c>
      <c r="K315" s="14" t="str">
        <f t="shared" si="4"/>
        <v/>
      </c>
    </row>
    <row r="316" spans="1:11" ht="15.75" customHeight="1" x14ac:dyDescent="0.35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G316" s="3">
        <v>45241</v>
      </c>
      <c r="H316" s="2">
        <v>11</v>
      </c>
      <c r="I316" s="2">
        <v>184.66</v>
      </c>
      <c r="J316" s="2">
        <v>391.9</v>
      </c>
      <c r="K316" s="14">
        <f t="shared" si="4"/>
        <v>-2279.64</v>
      </c>
    </row>
    <row r="317" spans="1:11" ht="15.75" customHeight="1" x14ac:dyDescent="0.35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G317" s="3">
        <v>45242</v>
      </c>
      <c r="H317" s="2">
        <v>234</v>
      </c>
      <c r="I317" s="2">
        <v>497.76</v>
      </c>
      <c r="J317" s="2">
        <v>67.790000000000006</v>
      </c>
      <c r="K317" s="14">
        <f t="shared" si="4"/>
        <v>100612.98</v>
      </c>
    </row>
    <row r="318" spans="1:11" ht="15.75" customHeight="1" x14ac:dyDescent="0.35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G318" s="3">
        <v>45243</v>
      </c>
      <c r="I318" s="2">
        <v>225.94</v>
      </c>
      <c r="J318" s="2">
        <v>280.7</v>
      </c>
      <c r="K318" s="14" t="str">
        <f t="shared" si="4"/>
        <v/>
      </c>
    </row>
    <row r="319" spans="1:11" ht="15.75" customHeight="1" x14ac:dyDescent="0.35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G319" s="3">
        <v>45244</v>
      </c>
      <c r="H319" s="2">
        <v>242</v>
      </c>
      <c r="I319" s="2">
        <v>170.12</v>
      </c>
      <c r="J319" s="2">
        <v>235.15</v>
      </c>
      <c r="K319" s="14">
        <f t="shared" si="4"/>
        <v>-15737.26</v>
      </c>
    </row>
    <row r="320" spans="1:11" ht="15.75" customHeight="1" x14ac:dyDescent="0.35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G320" s="3">
        <v>45245</v>
      </c>
      <c r="H320" s="2">
        <v>470</v>
      </c>
      <c r="I320" s="2">
        <v>292.33999999999997</v>
      </c>
      <c r="J320" s="2">
        <v>235.42</v>
      </c>
      <c r="K320" s="14">
        <f t="shared" si="4"/>
        <v>26752.399999999994</v>
      </c>
    </row>
    <row r="321" spans="1:11" ht="15.75" customHeight="1" x14ac:dyDescent="0.35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G321" s="3">
        <v>45246</v>
      </c>
      <c r="H321" s="2">
        <v>423</v>
      </c>
      <c r="I321" s="2">
        <v>48.94</v>
      </c>
      <c r="J321" s="2">
        <v>279.67</v>
      </c>
      <c r="K321" s="14">
        <f t="shared" si="4"/>
        <v>-97598.790000000008</v>
      </c>
    </row>
    <row r="322" spans="1:11" ht="15.75" customHeight="1" x14ac:dyDescent="0.35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G322" s="3">
        <v>45247</v>
      </c>
      <c r="H322" s="2">
        <v>426</v>
      </c>
      <c r="I322" s="2">
        <v>481.02</v>
      </c>
      <c r="J322" s="2">
        <v>371.99</v>
      </c>
      <c r="K322" s="14">
        <f t="shared" ref="K322:K351" si="5">IF(OR(H322="",I322="",J322=""),"",H322*(I322-J322))</f>
        <v>46446.779999999992</v>
      </c>
    </row>
    <row r="323" spans="1:11" ht="15.75" customHeight="1" x14ac:dyDescent="0.35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G323" s="3">
        <v>45248</v>
      </c>
      <c r="H323" s="2">
        <v>86</v>
      </c>
      <c r="I323" s="2">
        <v>319.31</v>
      </c>
      <c r="J323" s="2">
        <v>313.47000000000003</v>
      </c>
      <c r="K323" s="14">
        <f t="shared" si="5"/>
        <v>502.23999999999785</v>
      </c>
    </row>
    <row r="324" spans="1:11" ht="15.75" customHeight="1" x14ac:dyDescent="0.35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G324" s="3">
        <v>45249</v>
      </c>
      <c r="H324" s="2">
        <v>125</v>
      </c>
      <c r="I324" s="2">
        <v>378.64</v>
      </c>
      <c r="J324" s="2">
        <v>24.34</v>
      </c>
      <c r="K324" s="14">
        <f t="shared" si="5"/>
        <v>44287.5</v>
      </c>
    </row>
    <row r="325" spans="1:11" ht="15.75" customHeight="1" x14ac:dyDescent="0.35">
      <c r="A325" s="2" t="s">
        <v>352</v>
      </c>
      <c r="B325" s="2" t="s">
        <v>48</v>
      </c>
      <c r="C325" s="2" t="s">
        <v>18</v>
      </c>
      <c r="E325" s="2" t="s">
        <v>14</v>
      </c>
      <c r="G325" s="3">
        <v>45250</v>
      </c>
      <c r="H325" s="2">
        <v>163</v>
      </c>
      <c r="I325" s="2">
        <v>89.39</v>
      </c>
      <c r="J325" s="2">
        <v>341.39</v>
      </c>
      <c r="K325" s="14">
        <f t="shared" si="5"/>
        <v>-41076</v>
      </c>
    </row>
    <row r="326" spans="1:11" ht="15.75" customHeight="1" x14ac:dyDescent="0.35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G326" s="3">
        <v>45251</v>
      </c>
      <c r="H326" s="2">
        <v>415</v>
      </c>
      <c r="I326" s="2">
        <v>207.69</v>
      </c>
      <c r="J326" s="2">
        <v>91.77</v>
      </c>
      <c r="K326" s="14">
        <f t="shared" si="5"/>
        <v>48106.8</v>
      </c>
    </row>
    <row r="327" spans="1:11" ht="15.75" customHeight="1" x14ac:dyDescent="0.35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G327" s="3">
        <v>45252</v>
      </c>
      <c r="H327" s="2">
        <v>112</v>
      </c>
      <c r="I327" s="2">
        <v>214.23</v>
      </c>
      <c r="J327" s="2">
        <v>152.01</v>
      </c>
      <c r="K327" s="14">
        <f t="shared" si="5"/>
        <v>6968.6399999999994</v>
      </c>
    </row>
    <row r="328" spans="1:11" ht="15.75" customHeight="1" x14ac:dyDescent="0.35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G328" s="3">
        <v>45253</v>
      </c>
      <c r="H328" s="2">
        <v>203</v>
      </c>
      <c r="I328" s="2">
        <v>411.79</v>
      </c>
      <c r="J328" s="2">
        <v>185.77</v>
      </c>
      <c r="K328" s="14">
        <f t="shared" si="5"/>
        <v>45882.060000000005</v>
      </c>
    </row>
    <row r="329" spans="1:11" ht="15.75" customHeight="1" x14ac:dyDescent="0.35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G329" s="3">
        <v>45254</v>
      </c>
      <c r="I329" s="2">
        <v>5.61</v>
      </c>
      <c r="J329" s="2">
        <v>193.4</v>
      </c>
      <c r="K329" s="14" t="str">
        <f t="shared" si="5"/>
        <v/>
      </c>
    </row>
    <row r="330" spans="1:11" ht="15.75" customHeight="1" x14ac:dyDescent="0.35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G330" s="3">
        <v>45255</v>
      </c>
      <c r="H330" s="2">
        <v>368</v>
      </c>
      <c r="I330" s="2">
        <v>153.91999999999999</v>
      </c>
      <c r="J330" s="2">
        <v>175.2</v>
      </c>
      <c r="K330" s="14">
        <f t="shared" si="5"/>
        <v>-7831.0400000000009</v>
      </c>
    </row>
    <row r="331" spans="1:11" ht="15.75" customHeight="1" x14ac:dyDescent="0.35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G331" s="3">
        <v>45256</v>
      </c>
      <c r="H331" s="2">
        <v>99</v>
      </c>
      <c r="I331" s="2">
        <v>490.71</v>
      </c>
      <c r="J331" s="2">
        <v>375.07</v>
      </c>
      <c r="K331" s="14">
        <f t="shared" si="5"/>
        <v>11448.359999999999</v>
      </c>
    </row>
    <row r="332" spans="1:11" ht="15.75" customHeight="1" x14ac:dyDescent="0.35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G332" s="3">
        <v>45257</v>
      </c>
      <c r="H332" s="2">
        <v>183</v>
      </c>
      <c r="I332" s="2">
        <v>240.07</v>
      </c>
      <c r="J332" s="2">
        <v>283</v>
      </c>
      <c r="K332" s="14">
        <f t="shared" si="5"/>
        <v>-7856.1900000000014</v>
      </c>
    </row>
    <row r="333" spans="1:11" ht="15.75" customHeight="1" x14ac:dyDescent="0.35">
      <c r="A333" s="2" t="s">
        <v>360</v>
      </c>
      <c r="C333" s="2" t="s">
        <v>18</v>
      </c>
      <c r="D333" s="2" t="s">
        <v>42</v>
      </c>
      <c r="E333" s="2" t="s">
        <v>24</v>
      </c>
      <c r="G333" s="3">
        <v>45258</v>
      </c>
      <c r="H333" s="2">
        <v>131</v>
      </c>
      <c r="I333" s="2">
        <v>194.35</v>
      </c>
      <c r="J333" s="2">
        <v>253.21</v>
      </c>
      <c r="K333" s="14">
        <f t="shared" si="5"/>
        <v>-7710.6600000000017</v>
      </c>
    </row>
    <row r="334" spans="1:11" ht="15.75" customHeight="1" x14ac:dyDescent="0.35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G334" s="3">
        <v>45259</v>
      </c>
      <c r="H334" s="2">
        <v>152</v>
      </c>
      <c r="I334" s="2">
        <v>64.319999999999993</v>
      </c>
      <c r="J334" s="2">
        <v>21.84</v>
      </c>
      <c r="K334" s="14">
        <f t="shared" si="5"/>
        <v>6456.9599999999982</v>
      </c>
    </row>
    <row r="335" spans="1:11" ht="15.75" customHeight="1" x14ac:dyDescent="0.35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G335" s="3">
        <v>45260</v>
      </c>
      <c r="H335" s="2">
        <v>491</v>
      </c>
      <c r="I335" s="2">
        <v>487.21</v>
      </c>
      <c r="J335" s="2">
        <v>361.76</v>
      </c>
      <c r="K335" s="14">
        <f t="shared" si="5"/>
        <v>61595.95</v>
      </c>
    </row>
    <row r="336" spans="1:11" ht="15.75" customHeight="1" x14ac:dyDescent="0.35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G336" s="3">
        <v>45261</v>
      </c>
      <c r="H336" s="2">
        <v>115</v>
      </c>
      <c r="I336" s="2">
        <v>14.91</v>
      </c>
      <c r="J336" s="2">
        <v>363.94</v>
      </c>
      <c r="K336" s="14">
        <f t="shared" si="5"/>
        <v>-40138.449999999997</v>
      </c>
    </row>
    <row r="337" spans="1:11" ht="15.75" customHeight="1" x14ac:dyDescent="0.35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G337" s="3">
        <v>45262</v>
      </c>
      <c r="H337" s="2">
        <v>384</v>
      </c>
      <c r="I337" s="2">
        <v>369.9</v>
      </c>
      <c r="J337" s="2">
        <v>312.52</v>
      </c>
      <c r="K337" s="14">
        <f t="shared" si="5"/>
        <v>22033.919999999998</v>
      </c>
    </row>
    <row r="338" spans="1:11" ht="15.75" customHeight="1" x14ac:dyDescent="0.35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G338" s="3">
        <v>45263</v>
      </c>
      <c r="H338" s="2">
        <v>437</v>
      </c>
      <c r="I338" s="2">
        <v>385.46</v>
      </c>
      <c r="J338" s="2">
        <v>4.8</v>
      </c>
      <c r="K338" s="14">
        <f t="shared" si="5"/>
        <v>166348.41999999998</v>
      </c>
    </row>
    <row r="339" spans="1:11" ht="15.75" customHeight="1" x14ac:dyDescent="0.35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G339" s="3">
        <v>45264</v>
      </c>
      <c r="H339" s="2">
        <v>314</v>
      </c>
      <c r="I339" s="2">
        <v>125.61</v>
      </c>
      <c r="J339" s="2">
        <v>24.8</v>
      </c>
      <c r="K339" s="14">
        <f t="shared" si="5"/>
        <v>31654.34</v>
      </c>
    </row>
    <row r="340" spans="1:11" ht="15.75" customHeight="1" x14ac:dyDescent="0.35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G340" s="3">
        <v>45265</v>
      </c>
      <c r="H340" s="2">
        <v>369</v>
      </c>
      <c r="I340" s="2">
        <v>337.42</v>
      </c>
      <c r="J340" s="2">
        <v>91.64</v>
      </c>
      <c r="K340" s="14">
        <f t="shared" si="5"/>
        <v>90692.82</v>
      </c>
    </row>
    <row r="341" spans="1:11" ht="15.75" customHeight="1" x14ac:dyDescent="0.35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G341" s="3">
        <v>45266</v>
      </c>
      <c r="H341" s="2">
        <v>468</v>
      </c>
      <c r="I341" s="2">
        <v>51</v>
      </c>
      <c r="J341" s="2">
        <v>54.28</v>
      </c>
      <c r="K341" s="14">
        <f t="shared" si="5"/>
        <v>-1535.0400000000004</v>
      </c>
    </row>
    <row r="342" spans="1:11" ht="15.75" customHeight="1" x14ac:dyDescent="0.35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G342" s="3">
        <v>45267</v>
      </c>
      <c r="H342" s="2">
        <v>326</v>
      </c>
      <c r="I342" s="2">
        <v>132.24</v>
      </c>
      <c r="J342" s="2">
        <v>160.74</v>
      </c>
      <c r="K342" s="14">
        <f t="shared" si="5"/>
        <v>-9291</v>
      </c>
    </row>
    <row r="343" spans="1:11" ht="15.75" customHeight="1" x14ac:dyDescent="0.35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G343" s="3">
        <v>45268</v>
      </c>
      <c r="H343" s="2">
        <v>460</v>
      </c>
      <c r="I343" s="2">
        <v>395.01</v>
      </c>
      <c r="J343" s="2">
        <v>369.2</v>
      </c>
      <c r="K343" s="14">
        <f t="shared" si="5"/>
        <v>11872.6</v>
      </c>
    </row>
    <row r="344" spans="1:11" ht="15.75" customHeight="1" x14ac:dyDescent="0.35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G344" s="3">
        <v>45269</v>
      </c>
      <c r="H344" s="2">
        <v>132</v>
      </c>
      <c r="I344" s="2">
        <v>433.02</v>
      </c>
      <c r="J344" s="2">
        <v>189.88</v>
      </c>
      <c r="K344" s="14">
        <f t="shared" si="5"/>
        <v>32094.48</v>
      </c>
    </row>
    <row r="345" spans="1:11" ht="15.75" customHeight="1" x14ac:dyDescent="0.35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G345" s="3">
        <v>45270</v>
      </c>
      <c r="H345" s="2">
        <v>399</v>
      </c>
      <c r="I345" s="2">
        <v>306.2</v>
      </c>
      <c r="J345" s="2">
        <v>7.33</v>
      </c>
      <c r="K345" s="14">
        <f t="shared" si="5"/>
        <v>119249.13</v>
      </c>
    </row>
    <row r="346" spans="1:11" ht="15.75" customHeight="1" x14ac:dyDescent="0.35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G346" s="3">
        <v>45271</v>
      </c>
      <c r="H346" s="2">
        <v>18</v>
      </c>
      <c r="I346" s="2">
        <v>255.89</v>
      </c>
      <c r="J346" s="2">
        <v>114.53</v>
      </c>
      <c r="K346" s="14">
        <f t="shared" si="5"/>
        <v>2544.4799999999996</v>
      </c>
    </row>
    <row r="347" spans="1:11" ht="15.75" customHeight="1" x14ac:dyDescent="0.35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G347" s="3">
        <v>45272</v>
      </c>
      <c r="H347" s="2">
        <v>271</v>
      </c>
      <c r="I347" s="2">
        <v>83.86</v>
      </c>
      <c r="J347" s="2">
        <v>19.75</v>
      </c>
      <c r="K347" s="14">
        <f t="shared" si="5"/>
        <v>17373.810000000001</v>
      </c>
    </row>
    <row r="348" spans="1:11" ht="15.75" customHeight="1" x14ac:dyDescent="0.35">
      <c r="A348" s="2" t="s">
        <v>375</v>
      </c>
      <c r="C348" s="2" t="s">
        <v>12</v>
      </c>
      <c r="D348" s="2" t="s">
        <v>42</v>
      </c>
      <c r="E348" s="2" t="s">
        <v>14</v>
      </c>
      <c r="G348" s="3">
        <v>45273</v>
      </c>
      <c r="H348" s="2">
        <v>82</v>
      </c>
      <c r="I348" s="2">
        <v>36.24</v>
      </c>
      <c r="J348" s="2">
        <v>16.440000000000001</v>
      </c>
      <c r="K348" s="14">
        <f t="shared" si="5"/>
        <v>1623.6000000000001</v>
      </c>
    </row>
    <row r="349" spans="1:11" ht="15.75" customHeight="1" x14ac:dyDescent="0.35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G349" s="3">
        <v>45274</v>
      </c>
      <c r="H349" s="2">
        <v>368</v>
      </c>
      <c r="I349" s="2">
        <v>63.24</v>
      </c>
      <c r="J349" s="2">
        <v>111.74</v>
      </c>
      <c r="K349" s="14">
        <f t="shared" si="5"/>
        <v>-17847.999999999996</v>
      </c>
    </row>
    <row r="350" spans="1:11" ht="15.75" customHeight="1" x14ac:dyDescent="0.35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G350" s="3">
        <v>45275</v>
      </c>
      <c r="H350" s="2">
        <v>232</v>
      </c>
      <c r="I350" s="2">
        <v>117.54</v>
      </c>
      <c r="J350" s="2">
        <v>111.69</v>
      </c>
      <c r="K350" s="14">
        <f t="shared" si="5"/>
        <v>1357.2000000000021</v>
      </c>
    </row>
    <row r="351" spans="1:11" ht="15.75" customHeight="1" x14ac:dyDescent="0.35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G351" s="3">
        <v>45276</v>
      </c>
      <c r="H351" s="2">
        <v>425</v>
      </c>
      <c r="I351" s="2">
        <v>174.13</v>
      </c>
      <c r="J351" s="2">
        <v>315.27999999999997</v>
      </c>
      <c r="K351" s="14">
        <f t="shared" si="5"/>
        <v>-59988.749999999993</v>
      </c>
    </row>
    <row r="352" spans="1:11" ht="15.75" customHeight="1" x14ac:dyDescent="0.35"/>
    <row r="353" spans="2:5" ht="15.75" customHeight="1" x14ac:dyDescent="0.35"/>
    <row r="354" spans="2:5" ht="15.75" customHeight="1" x14ac:dyDescent="0.35">
      <c r="B354" s="12" t="s">
        <v>394</v>
      </c>
    </row>
    <row r="355" spans="2:5" ht="15.75" customHeight="1" x14ac:dyDescent="0.35"/>
    <row r="356" spans="2:5" ht="15.75" customHeight="1" x14ac:dyDescent="0.45">
      <c r="B356" s="11" t="s">
        <v>379</v>
      </c>
      <c r="C356" s="11"/>
      <c r="D356" s="11"/>
      <c r="E356" s="11"/>
    </row>
    <row r="357" spans="2:5" ht="15.75" customHeight="1" x14ac:dyDescent="0.35"/>
    <row r="358" spans="2:5" ht="15.75" customHeight="1" x14ac:dyDescent="0.35">
      <c r="B358" s="5" t="s">
        <v>380</v>
      </c>
      <c r="C358" s="5" t="s">
        <v>381</v>
      </c>
      <c r="D358" s="5" t="s">
        <v>382</v>
      </c>
      <c r="E358" s="5" t="s">
        <v>383</v>
      </c>
    </row>
    <row r="359" spans="2:5" ht="15.75" customHeight="1" x14ac:dyDescent="0.35">
      <c r="B359" s="6" t="s">
        <v>0</v>
      </c>
      <c r="C359" s="6">
        <v>0</v>
      </c>
      <c r="D359" s="7">
        <v>0</v>
      </c>
      <c r="E359" s="6" t="s">
        <v>384</v>
      </c>
    </row>
    <row r="360" spans="2:5" ht="15.75" customHeight="1" x14ac:dyDescent="0.35">
      <c r="B360" s="8" t="s">
        <v>1</v>
      </c>
      <c r="C360" s="8">
        <v>10</v>
      </c>
      <c r="D360" s="9">
        <v>2.86E-2</v>
      </c>
      <c r="E360" s="8" t="s">
        <v>385</v>
      </c>
    </row>
    <row r="361" spans="2:5" ht="15.75" customHeight="1" x14ac:dyDescent="0.35">
      <c r="B361" s="6" t="s">
        <v>2</v>
      </c>
      <c r="C361" s="6">
        <v>0</v>
      </c>
      <c r="D361" s="7">
        <v>0</v>
      </c>
      <c r="E361" s="6" t="s">
        <v>384</v>
      </c>
    </row>
    <row r="362" spans="2:5" ht="15.75" customHeight="1" x14ac:dyDescent="0.35">
      <c r="B362" s="8" t="s">
        <v>3</v>
      </c>
      <c r="C362" s="8">
        <v>10</v>
      </c>
      <c r="D362" s="9">
        <v>2.86E-2</v>
      </c>
      <c r="E362" s="8" t="s">
        <v>386</v>
      </c>
    </row>
    <row r="363" spans="2:5" ht="15.75" customHeight="1" x14ac:dyDescent="0.35">
      <c r="B363" s="6" t="s">
        <v>4</v>
      </c>
      <c r="C363" s="6">
        <v>0</v>
      </c>
      <c r="D363" s="7">
        <v>0</v>
      </c>
      <c r="E363" s="6" t="s">
        <v>384</v>
      </c>
    </row>
    <row r="364" spans="2:5" ht="15.75" customHeight="1" x14ac:dyDescent="0.35">
      <c r="B364" s="6" t="s">
        <v>5</v>
      </c>
      <c r="C364" s="6">
        <v>0</v>
      </c>
      <c r="D364" s="7">
        <v>0</v>
      </c>
      <c r="E364" s="6" t="s">
        <v>384</v>
      </c>
    </row>
    <row r="365" spans="2:5" ht="15.75" customHeight="1" x14ac:dyDescent="0.35">
      <c r="B365" s="6" t="s">
        <v>6</v>
      </c>
      <c r="C365" s="6">
        <v>0</v>
      </c>
      <c r="D365" s="7">
        <v>0</v>
      </c>
      <c r="E365" s="6" t="s">
        <v>384</v>
      </c>
    </row>
    <row r="366" spans="2:5" ht="15.75" customHeight="1" x14ac:dyDescent="0.35">
      <c r="B366" s="8" t="s">
        <v>7</v>
      </c>
      <c r="C366" s="8">
        <v>10</v>
      </c>
      <c r="D366" s="9">
        <v>2.86E-2</v>
      </c>
      <c r="E366" s="8" t="s">
        <v>387</v>
      </c>
    </row>
    <row r="367" spans="2:5" ht="15.75" customHeight="1" x14ac:dyDescent="0.35">
      <c r="B367" s="8" t="s">
        <v>8</v>
      </c>
      <c r="C367" s="8">
        <v>10</v>
      </c>
      <c r="D367" s="9">
        <v>2.86E-2</v>
      </c>
      <c r="E367" s="8" t="s">
        <v>388</v>
      </c>
    </row>
    <row r="368" spans="2:5" ht="15.75" customHeight="1" x14ac:dyDescent="0.35">
      <c r="B368" s="6" t="s">
        <v>9</v>
      </c>
      <c r="C368" s="6">
        <v>0</v>
      </c>
      <c r="D368" s="7">
        <v>0</v>
      </c>
      <c r="E368" s="6" t="s">
        <v>384</v>
      </c>
    </row>
    <row r="369" spans="2:5" ht="15.75" customHeight="1" x14ac:dyDescent="0.35"/>
    <row r="370" spans="2:5" ht="15.75" customHeight="1" x14ac:dyDescent="0.35">
      <c r="B370" s="48" t="s">
        <v>389</v>
      </c>
      <c r="C370" s="48"/>
      <c r="D370" s="49"/>
      <c r="E370" s="49"/>
    </row>
    <row r="371" spans="2:5" ht="15.75" customHeight="1" x14ac:dyDescent="0.35">
      <c r="B371" s="10" t="s">
        <v>390</v>
      </c>
      <c r="C371" s="6">
        <v>350</v>
      </c>
    </row>
    <row r="372" spans="2:5" ht="15.75" customHeight="1" x14ac:dyDescent="0.35">
      <c r="B372" s="10" t="s">
        <v>391</v>
      </c>
      <c r="C372" s="6">
        <v>10</v>
      </c>
    </row>
    <row r="373" spans="2:5" ht="15.75" customHeight="1" x14ac:dyDescent="0.35">
      <c r="B373" s="10" t="s">
        <v>392</v>
      </c>
      <c r="C373" s="6">
        <v>40</v>
      </c>
    </row>
    <row r="374" spans="2:5" ht="15.75" customHeight="1" x14ac:dyDescent="0.35">
      <c r="B374" s="10" t="s">
        <v>393</v>
      </c>
      <c r="C374" s="6">
        <v>4</v>
      </c>
    </row>
    <row r="375" spans="2:5" ht="15.75" customHeight="1" x14ac:dyDescent="0.35"/>
    <row r="376" spans="2:5" ht="15.75" customHeight="1" x14ac:dyDescent="0.35">
      <c r="B376" s="12" t="s">
        <v>395</v>
      </c>
    </row>
    <row r="377" spans="2:5" ht="15.75" customHeight="1" x14ac:dyDescent="0.35"/>
    <row r="378" spans="2:5" ht="15.75" customHeight="1" x14ac:dyDescent="0.35">
      <c r="B378" s="8" t="s">
        <v>1</v>
      </c>
      <c r="C378" s="8">
        <v>10</v>
      </c>
      <c r="D378" s="9">
        <v>2.86E-2</v>
      </c>
      <c r="E378" s="8" t="s">
        <v>385</v>
      </c>
    </row>
    <row r="379" spans="2:5" ht="15.75" customHeight="1" x14ac:dyDescent="0.35"/>
    <row r="380" spans="2:5" ht="15.75" customHeight="1" x14ac:dyDescent="0.35">
      <c r="B380" s="8" t="s">
        <v>3</v>
      </c>
      <c r="C380" s="8">
        <v>10</v>
      </c>
      <c r="D380" s="9">
        <v>2.86E-2</v>
      </c>
      <c r="E380" s="8" t="s">
        <v>386</v>
      </c>
    </row>
    <row r="381" spans="2:5" ht="15.75" customHeight="1" x14ac:dyDescent="0.35"/>
    <row r="382" spans="2:5" ht="15.75" customHeight="1" x14ac:dyDescent="0.35">
      <c r="B382" s="12" t="s">
        <v>396</v>
      </c>
    </row>
    <row r="383" spans="2:5" ht="15.75" customHeight="1" x14ac:dyDescent="0.35"/>
    <row r="384" spans="2:5" ht="15.75" customHeight="1" x14ac:dyDescent="0.35">
      <c r="B384" s="8" t="s">
        <v>7</v>
      </c>
      <c r="C384" s="8">
        <v>10</v>
      </c>
      <c r="D384" s="9">
        <v>2.86E-2</v>
      </c>
      <c r="E384" s="8" t="s">
        <v>387</v>
      </c>
    </row>
    <row r="385" spans="2:5" ht="15.75" customHeight="1" x14ac:dyDescent="0.35"/>
    <row r="386" spans="2:5" ht="15.75" customHeight="1" x14ac:dyDescent="0.35">
      <c r="B386" s="8" t="s">
        <v>8</v>
      </c>
      <c r="C386" s="8">
        <v>10</v>
      </c>
      <c r="D386" s="9">
        <v>2.86E-2</v>
      </c>
      <c r="E386" s="8" t="s">
        <v>388</v>
      </c>
    </row>
    <row r="387" spans="2:5" ht="15.75" customHeight="1" x14ac:dyDescent="0.35"/>
    <row r="388" spans="2:5" ht="15.75" customHeight="1" x14ac:dyDescent="0.35">
      <c r="B388" s="12" t="s">
        <v>397</v>
      </c>
    </row>
    <row r="389" spans="2:5" ht="15.75" customHeight="1" x14ac:dyDescent="0.35"/>
    <row r="390" spans="2:5" ht="15.75" customHeight="1" x14ac:dyDescent="0.35">
      <c r="B390" s="15" t="s">
        <v>398</v>
      </c>
    </row>
    <row r="391" spans="2:5" ht="15.75" customHeight="1" x14ac:dyDescent="0.35">
      <c r="B391" s="16">
        <f t="shared" ref="B391:B454" si="6">IF(OR(H2="",I2=""),"",H2*I2)</f>
        <v>35936.199999999997</v>
      </c>
    </row>
    <row r="392" spans="2:5" ht="15.75" customHeight="1" x14ac:dyDescent="0.35">
      <c r="B392" s="16">
        <f t="shared" si="6"/>
        <v>159560.72</v>
      </c>
    </row>
    <row r="393" spans="2:5" ht="15.75" customHeight="1" x14ac:dyDescent="0.35">
      <c r="B393" s="16">
        <f t="shared" si="6"/>
        <v>84835.26</v>
      </c>
    </row>
    <row r="394" spans="2:5" ht="15.75" customHeight="1" x14ac:dyDescent="0.35">
      <c r="B394" s="16">
        <f t="shared" si="6"/>
        <v>5661.5399999999991</v>
      </c>
    </row>
    <row r="395" spans="2:5" ht="15.75" customHeight="1" x14ac:dyDescent="0.35">
      <c r="B395" s="16">
        <f t="shared" si="6"/>
        <v>185396.88</v>
      </c>
    </row>
    <row r="396" spans="2:5" ht="15.75" customHeight="1" x14ac:dyDescent="0.35">
      <c r="B396" s="16">
        <f t="shared" si="6"/>
        <v>15095.43</v>
      </c>
    </row>
    <row r="397" spans="2:5" ht="15.75" customHeight="1" x14ac:dyDescent="0.35">
      <c r="B397" s="16">
        <f t="shared" si="6"/>
        <v>8322.52</v>
      </c>
    </row>
    <row r="398" spans="2:5" ht="15.75" customHeight="1" x14ac:dyDescent="0.35">
      <c r="B398" s="16">
        <f t="shared" si="6"/>
        <v>89669.7</v>
      </c>
    </row>
    <row r="399" spans="2:5" ht="15.75" customHeight="1" x14ac:dyDescent="0.35">
      <c r="B399" s="16">
        <f t="shared" si="6"/>
        <v>112610.96</v>
      </c>
    </row>
    <row r="400" spans="2:5" ht="15.75" customHeight="1" x14ac:dyDescent="0.35">
      <c r="B400" s="16">
        <f t="shared" si="6"/>
        <v>135939</v>
      </c>
    </row>
    <row r="401" spans="2:2" ht="15.75" customHeight="1" x14ac:dyDescent="0.35">
      <c r="B401" s="16">
        <f t="shared" si="6"/>
        <v>92355</v>
      </c>
    </row>
    <row r="402" spans="2:2" ht="15.75" customHeight="1" x14ac:dyDescent="0.35">
      <c r="B402" s="16">
        <f t="shared" si="6"/>
        <v>116907.05</v>
      </c>
    </row>
    <row r="403" spans="2:2" ht="15.75" customHeight="1" x14ac:dyDescent="0.35">
      <c r="B403" s="16">
        <f t="shared" si="6"/>
        <v>3347.61</v>
      </c>
    </row>
    <row r="404" spans="2:2" ht="15.75" customHeight="1" x14ac:dyDescent="0.35">
      <c r="B404" s="16">
        <f t="shared" si="6"/>
        <v>40676.960000000006</v>
      </c>
    </row>
    <row r="405" spans="2:2" ht="15.75" customHeight="1" x14ac:dyDescent="0.35">
      <c r="B405" s="16">
        <f t="shared" si="6"/>
        <v>10439.17</v>
      </c>
    </row>
    <row r="406" spans="2:2" ht="15.75" customHeight="1" x14ac:dyDescent="0.35">
      <c r="B406" s="16">
        <f t="shared" si="6"/>
        <v>122597.23000000001</v>
      </c>
    </row>
    <row r="407" spans="2:2" ht="15.75" customHeight="1" x14ac:dyDescent="0.35">
      <c r="B407" s="16">
        <f t="shared" si="6"/>
        <v>77654.2</v>
      </c>
    </row>
    <row r="408" spans="2:2" ht="15.75" customHeight="1" x14ac:dyDescent="0.35">
      <c r="B408" s="16">
        <f t="shared" si="6"/>
        <v>130106.2</v>
      </c>
    </row>
    <row r="409" spans="2:2" ht="15.75" customHeight="1" x14ac:dyDescent="0.35">
      <c r="B409" s="16">
        <f t="shared" si="6"/>
        <v>44814.400000000001</v>
      </c>
    </row>
    <row r="410" spans="2:2" ht="15.75" customHeight="1" x14ac:dyDescent="0.35">
      <c r="B410" s="16">
        <f t="shared" si="6"/>
        <v>30669.210000000003</v>
      </c>
    </row>
    <row r="411" spans="2:2" ht="15.75" customHeight="1" x14ac:dyDescent="0.35">
      <c r="B411" s="16">
        <f t="shared" si="6"/>
        <v>68990.460000000006</v>
      </c>
    </row>
    <row r="412" spans="2:2" ht="15.75" customHeight="1" x14ac:dyDescent="0.35">
      <c r="B412" s="16">
        <f t="shared" si="6"/>
        <v>110073.62000000001</v>
      </c>
    </row>
    <row r="413" spans="2:2" ht="15.75" customHeight="1" x14ac:dyDescent="0.35">
      <c r="B413" s="16">
        <f t="shared" si="6"/>
        <v>17177.32</v>
      </c>
    </row>
    <row r="414" spans="2:2" ht="15.75" customHeight="1" x14ac:dyDescent="0.35">
      <c r="B414" s="16">
        <f t="shared" si="6"/>
        <v>141882</v>
      </c>
    </row>
    <row r="415" spans="2:2" ht="15.75" customHeight="1" x14ac:dyDescent="0.35">
      <c r="B415" s="16">
        <f t="shared" si="6"/>
        <v>40637.1</v>
      </c>
    </row>
    <row r="416" spans="2:2" ht="15.75" customHeight="1" x14ac:dyDescent="0.35">
      <c r="B416" s="16">
        <f t="shared" si="6"/>
        <v>12506.699999999999</v>
      </c>
    </row>
    <row r="417" spans="2:2" ht="15.75" customHeight="1" x14ac:dyDescent="0.35">
      <c r="B417" s="16">
        <f t="shared" si="6"/>
        <v>24913.79</v>
      </c>
    </row>
    <row r="418" spans="2:2" ht="15.75" customHeight="1" x14ac:dyDescent="0.35">
      <c r="B418" s="16" t="str">
        <f t="shared" si="6"/>
        <v/>
      </c>
    </row>
    <row r="419" spans="2:2" ht="15.75" customHeight="1" x14ac:dyDescent="0.35">
      <c r="B419" s="16">
        <f t="shared" si="6"/>
        <v>154333.9</v>
      </c>
    </row>
    <row r="420" spans="2:2" ht="15.75" customHeight="1" x14ac:dyDescent="0.35">
      <c r="B420" s="16">
        <f t="shared" si="6"/>
        <v>15255</v>
      </c>
    </row>
    <row r="421" spans="2:2" ht="15.75" customHeight="1" x14ac:dyDescent="0.35">
      <c r="B421" s="16">
        <f t="shared" si="6"/>
        <v>33644.189999999995</v>
      </c>
    </row>
    <row r="422" spans="2:2" ht="15.75" customHeight="1" x14ac:dyDescent="0.35">
      <c r="B422" s="16">
        <f t="shared" si="6"/>
        <v>12209.33</v>
      </c>
    </row>
    <row r="423" spans="2:2" ht="15.75" customHeight="1" x14ac:dyDescent="0.35">
      <c r="B423" s="16">
        <f t="shared" si="6"/>
        <v>14061.6</v>
      </c>
    </row>
    <row r="424" spans="2:2" ht="15.75" customHeight="1" x14ac:dyDescent="0.35">
      <c r="B424" s="16">
        <f t="shared" si="6"/>
        <v>47674.130000000005</v>
      </c>
    </row>
    <row r="425" spans="2:2" ht="15.75" customHeight="1" x14ac:dyDescent="0.35">
      <c r="B425" s="16">
        <f t="shared" si="6"/>
        <v>37336.86</v>
      </c>
    </row>
    <row r="426" spans="2:2" ht="15.75" customHeight="1" x14ac:dyDescent="0.35">
      <c r="B426" s="16">
        <f t="shared" si="6"/>
        <v>75935.38</v>
      </c>
    </row>
    <row r="427" spans="2:2" ht="15.75" customHeight="1" x14ac:dyDescent="0.35">
      <c r="B427" s="16" t="str">
        <f t="shared" si="6"/>
        <v/>
      </c>
    </row>
    <row r="428" spans="2:2" ht="15.75" customHeight="1" x14ac:dyDescent="0.35">
      <c r="B428" s="16">
        <f t="shared" si="6"/>
        <v>82098.899999999994</v>
      </c>
    </row>
    <row r="429" spans="2:2" ht="15.75" customHeight="1" x14ac:dyDescent="0.35">
      <c r="B429" s="16" t="str">
        <f t="shared" si="6"/>
        <v/>
      </c>
    </row>
    <row r="430" spans="2:2" ht="15.75" customHeight="1" x14ac:dyDescent="0.35">
      <c r="B430" s="16">
        <f t="shared" si="6"/>
        <v>31238.35</v>
      </c>
    </row>
    <row r="431" spans="2:2" ht="15.75" customHeight="1" x14ac:dyDescent="0.35">
      <c r="B431" s="16">
        <f t="shared" si="6"/>
        <v>10332.630000000001</v>
      </c>
    </row>
    <row r="432" spans="2:2" ht="15.75" customHeight="1" x14ac:dyDescent="0.35">
      <c r="B432" s="16">
        <f t="shared" si="6"/>
        <v>153872.07</v>
      </c>
    </row>
    <row r="433" spans="2:2" ht="15.75" customHeight="1" x14ac:dyDescent="0.35">
      <c r="B433" s="16">
        <f t="shared" si="6"/>
        <v>15495.76</v>
      </c>
    </row>
    <row r="434" spans="2:2" ht="15.75" customHeight="1" x14ac:dyDescent="0.35">
      <c r="B434" s="16">
        <f t="shared" si="6"/>
        <v>131364</v>
      </c>
    </row>
    <row r="435" spans="2:2" ht="15.75" customHeight="1" x14ac:dyDescent="0.35">
      <c r="B435" s="16" t="str">
        <f t="shared" si="6"/>
        <v/>
      </c>
    </row>
    <row r="436" spans="2:2" ht="15.75" customHeight="1" x14ac:dyDescent="0.35">
      <c r="B436" s="16">
        <f t="shared" si="6"/>
        <v>62705.4</v>
      </c>
    </row>
    <row r="437" spans="2:2" ht="15.75" customHeight="1" x14ac:dyDescent="0.35">
      <c r="B437" s="16">
        <f t="shared" si="6"/>
        <v>81631.14</v>
      </c>
    </row>
    <row r="438" spans="2:2" ht="15.75" customHeight="1" x14ac:dyDescent="0.35">
      <c r="B438" s="16">
        <f t="shared" si="6"/>
        <v>70305.53</v>
      </c>
    </row>
    <row r="439" spans="2:2" ht="15.75" customHeight="1" x14ac:dyDescent="0.35">
      <c r="B439" s="16">
        <f t="shared" si="6"/>
        <v>66620.25</v>
      </c>
    </row>
    <row r="440" spans="2:2" ht="15.75" customHeight="1" x14ac:dyDescent="0.35">
      <c r="B440" s="16">
        <f t="shared" si="6"/>
        <v>3049.8</v>
      </c>
    </row>
    <row r="441" spans="2:2" ht="15.75" customHeight="1" x14ac:dyDescent="0.35">
      <c r="B441" s="16">
        <f t="shared" si="6"/>
        <v>69269.100000000006</v>
      </c>
    </row>
    <row r="442" spans="2:2" ht="15.75" customHeight="1" x14ac:dyDescent="0.35">
      <c r="B442" s="16">
        <f t="shared" si="6"/>
        <v>53995.62</v>
      </c>
    </row>
    <row r="443" spans="2:2" ht="15.75" customHeight="1" x14ac:dyDescent="0.35">
      <c r="B443" s="16">
        <f t="shared" si="6"/>
        <v>30387.87</v>
      </c>
    </row>
    <row r="444" spans="2:2" ht="15.75" customHeight="1" x14ac:dyDescent="0.35">
      <c r="B444" s="16">
        <f t="shared" si="6"/>
        <v>143898.62</v>
      </c>
    </row>
    <row r="445" spans="2:2" ht="15.75" customHeight="1" x14ac:dyDescent="0.35">
      <c r="B445" s="16">
        <f t="shared" si="6"/>
        <v>22387.64</v>
      </c>
    </row>
    <row r="446" spans="2:2" ht="15.75" customHeight="1" x14ac:dyDescent="0.35">
      <c r="B446" s="16">
        <f t="shared" si="6"/>
        <v>33735.480000000003</v>
      </c>
    </row>
    <row r="447" spans="2:2" ht="15.75" customHeight="1" x14ac:dyDescent="0.35">
      <c r="B447" s="16">
        <f t="shared" si="6"/>
        <v>45544.63</v>
      </c>
    </row>
    <row r="448" spans="2:2" ht="15.75" customHeight="1" x14ac:dyDescent="0.35">
      <c r="B448" s="16">
        <f t="shared" si="6"/>
        <v>32534.84</v>
      </c>
    </row>
    <row r="449" spans="2:2" ht="15.75" customHeight="1" x14ac:dyDescent="0.35">
      <c r="B449" s="16">
        <f t="shared" si="6"/>
        <v>54210</v>
      </c>
    </row>
    <row r="450" spans="2:2" ht="15.75" customHeight="1" x14ac:dyDescent="0.35">
      <c r="B450" s="16">
        <f t="shared" si="6"/>
        <v>87635.760000000009</v>
      </c>
    </row>
    <row r="451" spans="2:2" ht="15.75" customHeight="1" x14ac:dyDescent="0.35">
      <c r="B451" s="16">
        <f t="shared" si="6"/>
        <v>22616.28</v>
      </c>
    </row>
    <row r="452" spans="2:2" ht="15.75" customHeight="1" x14ac:dyDescent="0.35">
      <c r="B452" s="16">
        <f t="shared" si="6"/>
        <v>43088.88</v>
      </c>
    </row>
    <row r="453" spans="2:2" ht="15.75" customHeight="1" x14ac:dyDescent="0.35">
      <c r="B453" s="16">
        <f t="shared" si="6"/>
        <v>73932.800000000003</v>
      </c>
    </row>
    <row r="454" spans="2:2" ht="15.75" customHeight="1" x14ac:dyDescent="0.35">
      <c r="B454" s="16">
        <f t="shared" si="6"/>
        <v>36807.769999999997</v>
      </c>
    </row>
    <row r="455" spans="2:2" ht="15.75" customHeight="1" x14ac:dyDescent="0.35">
      <c r="B455" s="16">
        <f t="shared" ref="B455:B518" si="7">IF(OR(H66="",I66=""),"",H66*I66)</f>
        <v>110565.8</v>
      </c>
    </row>
    <row r="456" spans="2:2" ht="15.75" customHeight="1" x14ac:dyDescent="0.35">
      <c r="B456" s="16">
        <f t="shared" si="7"/>
        <v>63622</v>
      </c>
    </row>
    <row r="457" spans="2:2" ht="15.75" customHeight="1" x14ac:dyDescent="0.35">
      <c r="B457" s="16">
        <f t="shared" si="7"/>
        <v>31087.84</v>
      </c>
    </row>
    <row r="458" spans="2:2" ht="15.75" customHeight="1" x14ac:dyDescent="0.35">
      <c r="B458" s="16">
        <f t="shared" si="7"/>
        <v>111516.94</v>
      </c>
    </row>
    <row r="459" spans="2:2" ht="15.75" customHeight="1" x14ac:dyDescent="0.35">
      <c r="B459" s="16">
        <f t="shared" si="7"/>
        <v>41261.649999999994</v>
      </c>
    </row>
    <row r="460" spans="2:2" ht="15.75" customHeight="1" x14ac:dyDescent="0.35">
      <c r="B460" s="16">
        <f t="shared" si="7"/>
        <v>627.52</v>
      </c>
    </row>
    <row r="461" spans="2:2" ht="15.75" customHeight="1" x14ac:dyDescent="0.35">
      <c r="B461" s="16">
        <f t="shared" si="7"/>
        <v>31438.799999999999</v>
      </c>
    </row>
    <row r="462" spans="2:2" ht="15.75" customHeight="1" x14ac:dyDescent="0.35">
      <c r="B462" s="16">
        <f t="shared" si="7"/>
        <v>12983.24</v>
      </c>
    </row>
    <row r="463" spans="2:2" ht="15.75" customHeight="1" x14ac:dyDescent="0.35">
      <c r="B463" s="16">
        <f t="shared" si="7"/>
        <v>11096.460000000001</v>
      </c>
    </row>
    <row r="464" spans="2:2" ht="15.75" customHeight="1" x14ac:dyDescent="0.35">
      <c r="B464" s="16">
        <f t="shared" si="7"/>
        <v>96412.27</v>
      </c>
    </row>
    <row r="465" spans="2:2" ht="15.75" customHeight="1" x14ac:dyDescent="0.35">
      <c r="B465" s="16">
        <f t="shared" si="7"/>
        <v>75286.98</v>
      </c>
    </row>
    <row r="466" spans="2:2" ht="15.75" customHeight="1" x14ac:dyDescent="0.35">
      <c r="B466" s="16">
        <f t="shared" si="7"/>
        <v>13320</v>
      </c>
    </row>
    <row r="467" spans="2:2" ht="15.75" customHeight="1" x14ac:dyDescent="0.35">
      <c r="B467" s="16">
        <f t="shared" si="7"/>
        <v>1668.8</v>
      </c>
    </row>
    <row r="468" spans="2:2" ht="15.75" customHeight="1" x14ac:dyDescent="0.35">
      <c r="B468" s="16">
        <f t="shared" si="7"/>
        <v>142593</v>
      </c>
    </row>
    <row r="469" spans="2:2" ht="15.75" customHeight="1" x14ac:dyDescent="0.35">
      <c r="B469" s="16">
        <f t="shared" si="7"/>
        <v>64282.53</v>
      </c>
    </row>
    <row r="470" spans="2:2" ht="15.75" customHeight="1" x14ac:dyDescent="0.35">
      <c r="B470" s="16" t="str">
        <f t="shared" si="7"/>
        <v/>
      </c>
    </row>
    <row r="471" spans="2:2" ht="15.75" customHeight="1" x14ac:dyDescent="0.35">
      <c r="B471" s="16">
        <f t="shared" si="7"/>
        <v>159848.4</v>
      </c>
    </row>
    <row r="472" spans="2:2" ht="15.75" customHeight="1" x14ac:dyDescent="0.35">
      <c r="B472" s="16">
        <f t="shared" si="7"/>
        <v>4223.62</v>
      </c>
    </row>
    <row r="473" spans="2:2" ht="15.75" customHeight="1" x14ac:dyDescent="0.35">
      <c r="B473" s="16">
        <f t="shared" si="7"/>
        <v>49475.42</v>
      </c>
    </row>
    <row r="474" spans="2:2" ht="15.75" customHeight="1" x14ac:dyDescent="0.35">
      <c r="B474" s="16">
        <f t="shared" si="7"/>
        <v>14465.28</v>
      </c>
    </row>
    <row r="475" spans="2:2" ht="15.75" customHeight="1" x14ac:dyDescent="0.35">
      <c r="B475" s="16">
        <f t="shared" si="7"/>
        <v>85372.4</v>
      </c>
    </row>
    <row r="476" spans="2:2" ht="15.75" customHeight="1" x14ac:dyDescent="0.35">
      <c r="B476" s="16">
        <f t="shared" si="7"/>
        <v>11132.03</v>
      </c>
    </row>
    <row r="477" spans="2:2" ht="15.75" customHeight="1" x14ac:dyDescent="0.35">
      <c r="B477" s="16">
        <f t="shared" si="7"/>
        <v>44223.4</v>
      </c>
    </row>
    <row r="478" spans="2:2" ht="15.75" customHeight="1" x14ac:dyDescent="0.35">
      <c r="B478" s="16">
        <f t="shared" si="7"/>
        <v>118131.48</v>
      </c>
    </row>
    <row r="479" spans="2:2" ht="15.75" customHeight="1" x14ac:dyDescent="0.35">
      <c r="B479" s="16">
        <f t="shared" si="7"/>
        <v>48117</v>
      </c>
    </row>
    <row r="480" spans="2:2" ht="15.75" customHeight="1" x14ac:dyDescent="0.35">
      <c r="B480" s="16">
        <f t="shared" si="7"/>
        <v>14515.939999999999</v>
      </c>
    </row>
    <row r="481" spans="2:2" ht="15.75" customHeight="1" x14ac:dyDescent="0.35">
      <c r="B481" s="16">
        <f t="shared" si="7"/>
        <v>110390.04</v>
      </c>
    </row>
    <row r="482" spans="2:2" ht="15.75" customHeight="1" x14ac:dyDescent="0.35">
      <c r="B482" s="16" t="str">
        <f t="shared" si="7"/>
        <v/>
      </c>
    </row>
    <row r="483" spans="2:2" ht="15.75" customHeight="1" x14ac:dyDescent="0.35">
      <c r="B483" s="16">
        <f t="shared" si="7"/>
        <v>23453.600000000002</v>
      </c>
    </row>
    <row r="484" spans="2:2" ht="15.75" customHeight="1" x14ac:dyDescent="0.35">
      <c r="B484" s="16">
        <f t="shared" si="7"/>
        <v>104408.73</v>
      </c>
    </row>
    <row r="485" spans="2:2" ht="15.75" customHeight="1" x14ac:dyDescent="0.35">
      <c r="B485" s="16">
        <f t="shared" si="7"/>
        <v>68968</v>
      </c>
    </row>
    <row r="486" spans="2:2" ht="15.75" customHeight="1" x14ac:dyDescent="0.35">
      <c r="B486" s="16">
        <f t="shared" si="7"/>
        <v>10440.1</v>
      </c>
    </row>
    <row r="487" spans="2:2" ht="15.75" customHeight="1" x14ac:dyDescent="0.35">
      <c r="B487" s="16">
        <f t="shared" si="7"/>
        <v>7150</v>
      </c>
    </row>
    <row r="488" spans="2:2" ht="15.75" customHeight="1" x14ac:dyDescent="0.35">
      <c r="B488" s="16">
        <f t="shared" si="7"/>
        <v>29984.120000000003</v>
      </c>
    </row>
    <row r="489" spans="2:2" ht="15.75" customHeight="1" x14ac:dyDescent="0.35">
      <c r="B489" s="16">
        <f t="shared" si="7"/>
        <v>23519.16</v>
      </c>
    </row>
    <row r="490" spans="2:2" ht="15.75" customHeight="1" x14ac:dyDescent="0.35">
      <c r="B490" s="16">
        <f t="shared" si="7"/>
        <v>73747.08</v>
      </c>
    </row>
    <row r="491" spans="2:2" ht="15.75" customHeight="1" x14ac:dyDescent="0.35">
      <c r="B491" s="16">
        <f t="shared" si="7"/>
        <v>4721.08</v>
      </c>
    </row>
    <row r="492" spans="2:2" ht="15.75" customHeight="1" x14ac:dyDescent="0.35">
      <c r="B492" s="16">
        <f t="shared" si="7"/>
        <v>99294.209999999992</v>
      </c>
    </row>
    <row r="493" spans="2:2" ht="15.75" customHeight="1" x14ac:dyDescent="0.35">
      <c r="B493" s="16">
        <f t="shared" si="7"/>
        <v>90941.680000000008</v>
      </c>
    </row>
    <row r="494" spans="2:2" ht="15.75" customHeight="1" x14ac:dyDescent="0.35">
      <c r="B494" s="16">
        <f t="shared" si="7"/>
        <v>128563.71</v>
      </c>
    </row>
    <row r="495" spans="2:2" ht="15.75" customHeight="1" x14ac:dyDescent="0.35">
      <c r="B495" s="16">
        <f t="shared" si="7"/>
        <v>44512.149999999994</v>
      </c>
    </row>
    <row r="496" spans="2:2" ht="15.75" customHeight="1" x14ac:dyDescent="0.35">
      <c r="B496" s="16">
        <f t="shared" si="7"/>
        <v>197785.03</v>
      </c>
    </row>
    <row r="497" spans="2:2" ht="15.75" customHeight="1" x14ac:dyDescent="0.35">
      <c r="B497" s="16">
        <f t="shared" si="7"/>
        <v>99291.839999999997</v>
      </c>
    </row>
    <row r="498" spans="2:2" ht="15.75" customHeight="1" x14ac:dyDescent="0.35">
      <c r="B498" s="16">
        <f t="shared" si="7"/>
        <v>101821.5</v>
      </c>
    </row>
    <row r="499" spans="2:2" ht="15.75" customHeight="1" x14ac:dyDescent="0.35">
      <c r="B499" s="16">
        <f t="shared" si="7"/>
        <v>3770.2400000000002</v>
      </c>
    </row>
    <row r="500" spans="2:2" ht="15.75" customHeight="1" x14ac:dyDescent="0.35">
      <c r="B500" s="16">
        <f t="shared" si="7"/>
        <v>165292.35</v>
      </c>
    </row>
    <row r="501" spans="2:2" ht="15.75" customHeight="1" x14ac:dyDescent="0.35">
      <c r="B501" s="16">
        <f t="shared" si="7"/>
        <v>31354.120000000003</v>
      </c>
    </row>
    <row r="502" spans="2:2" ht="15.75" customHeight="1" x14ac:dyDescent="0.35">
      <c r="B502" s="16">
        <f t="shared" si="7"/>
        <v>50510.43</v>
      </c>
    </row>
    <row r="503" spans="2:2" ht="15.75" customHeight="1" x14ac:dyDescent="0.35">
      <c r="B503" s="16">
        <f t="shared" si="7"/>
        <v>14193.76</v>
      </c>
    </row>
    <row r="504" spans="2:2" ht="15.75" customHeight="1" x14ac:dyDescent="0.35">
      <c r="B504" s="16">
        <f t="shared" si="7"/>
        <v>26709.4</v>
      </c>
    </row>
    <row r="505" spans="2:2" ht="15.75" customHeight="1" x14ac:dyDescent="0.35">
      <c r="B505" s="16">
        <f t="shared" si="7"/>
        <v>28127.66</v>
      </c>
    </row>
    <row r="506" spans="2:2" ht="15.75" customHeight="1" x14ac:dyDescent="0.35">
      <c r="B506" s="16">
        <f t="shared" si="7"/>
        <v>21927.63</v>
      </c>
    </row>
    <row r="507" spans="2:2" ht="15.75" customHeight="1" x14ac:dyDescent="0.35">
      <c r="B507" s="16">
        <f t="shared" si="7"/>
        <v>23980.440000000002</v>
      </c>
    </row>
    <row r="508" spans="2:2" ht="15.75" customHeight="1" x14ac:dyDescent="0.35">
      <c r="B508" s="16">
        <f t="shared" si="7"/>
        <v>18413.920000000002</v>
      </c>
    </row>
    <row r="509" spans="2:2" ht="15.75" customHeight="1" x14ac:dyDescent="0.35">
      <c r="B509" s="16">
        <f t="shared" si="7"/>
        <v>123946.61000000002</v>
      </c>
    </row>
    <row r="510" spans="2:2" ht="15.75" customHeight="1" x14ac:dyDescent="0.35">
      <c r="B510" s="16">
        <f t="shared" si="7"/>
        <v>23850.54</v>
      </c>
    </row>
    <row r="511" spans="2:2" ht="15.75" customHeight="1" x14ac:dyDescent="0.35">
      <c r="B511" s="16">
        <f t="shared" si="7"/>
        <v>69384.800000000003</v>
      </c>
    </row>
    <row r="512" spans="2:2" ht="15.75" customHeight="1" x14ac:dyDescent="0.35">
      <c r="B512" s="16">
        <f t="shared" si="7"/>
        <v>56029.05</v>
      </c>
    </row>
    <row r="513" spans="2:2" ht="15.75" customHeight="1" x14ac:dyDescent="0.35">
      <c r="B513" s="16">
        <f t="shared" si="7"/>
        <v>15849.300000000001</v>
      </c>
    </row>
    <row r="514" spans="2:2" ht="15.75" customHeight="1" x14ac:dyDescent="0.35">
      <c r="B514" s="16">
        <f t="shared" si="7"/>
        <v>6609.5999999999995</v>
      </c>
    </row>
    <row r="515" spans="2:2" ht="15.75" customHeight="1" x14ac:dyDescent="0.35">
      <c r="B515" s="16">
        <f t="shared" si="7"/>
        <v>47340.649999999994</v>
      </c>
    </row>
    <row r="516" spans="2:2" ht="15.75" customHeight="1" x14ac:dyDescent="0.35">
      <c r="B516" s="16">
        <f t="shared" si="7"/>
        <v>99769.4</v>
      </c>
    </row>
    <row r="517" spans="2:2" ht="15.75" customHeight="1" x14ac:dyDescent="0.35">
      <c r="B517" s="16">
        <f t="shared" si="7"/>
        <v>120662.08000000002</v>
      </c>
    </row>
    <row r="518" spans="2:2" ht="15.75" customHeight="1" x14ac:dyDescent="0.35">
      <c r="B518" s="16">
        <f t="shared" si="7"/>
        <v>47233.24</v>
      </c>
    </row>
    <row r="519" spans="2:2" ht="15.75" customHeight="1" x14ac:dyDescent="0.35">
      <c r="B519" s="16">
        <f t="shared" ref="B519:B582" si="8">IF(OR(H130="",I130=""),"",H130*I130)</f>
        <v>129787.18</v>
      </c>
    </row>
    <row r="520" spans="2:2" ht="15.75" customHeight="1" x14ac:dyDescent="0.35">
      <c r="B520" s="16">
        <f t="shared" si="8"/>
        <v>43827.11</v>
      </c>
    </row>
    <row r="521" spans="2:2" ht="15.75" customHeight="1" x14ac:dyDescent="0.35">
      <c r="B521" s="16" t="str">
        <f t="shared" si="8"/>
        <v/>
      </c>
    </row>
    <row r="522" spans="2:2" ht="15.75" customHeight="1" x14ac:dyDescent="0.35">
      <c r="B522" s="16">
        <f t="shared" si="8"/>
        <v>15330.72</v>
      </c>
    </row>
    <row r="523" spans="2:2" ht="15.75" customHeight="1" x14ac:dyDescent="0.35">
      <c r="B523" s="16">
        <f t="shared" si="8"/>
        <v>14208.689999999999</v>
      </c>
    </row>
    <row r="524" spans="2:2" ht="15.75" customHeight="1" x14ac:dyDescent="0.35">
      <c r="B524" s="16">
        <f t="shared" si="8"/>
        <v>1977.3</v>
      </c>
    </row>
    <row r="525" spans="2:2" ht="15.75" customHeight="1" x14ac:dyDescent="0.35">
      <c r="B525" s="16">
        <f t="shared" si="8"/>
        <v>9874.41</v>
      </c>
    </row>
    <row r="526" spans="2:2" ht="15.75" customHeight="1" x14ac:dyDescent="0.35">
      <c r="B526" s="16">
        <f t="shared" si="8"/>
        <v>152628.69999999998</v>
      </c>
    </row>
    <row r="527" spans="2:2" ht="15.75" customHeight="1" x14ac:dyDescent="0.35">
      <c r="B527" s="16">
        <f t="shared" si="8"/>
        <v>35005.799999999996</v>
      </c>
    </row>
    <row r="528" spans="2:2" ht="15.75" customHeight="1" x14ac:dyDescent="0.35">
      <c r="B528" s="16">
        <f t="shared" si="8"/>
        <v>39586.69</v>
      </c>
    </row>
    <row r="529" spans="2:2" ht="15.75" customHeight="1" x14ac:dyDescent="0.35">
      <c r="B529" s="16">
        <f t="shared" si="8"/>
        <v>140469.07999999999</v>
      </c>
    </row>
    <row r="530" spans="2:2" ht="15.75" customHeight="1" x14ac:dyDescent="0.35">
      <c r="B530" s="16">
        <f t="shared" si="8"/>
        <v>16624.599999999999</v>
      </c>
    </row>
    <row r="531" spans="2:2" ht="15.75" customHeight="1" x14ac:dyDescent="0.35">
      <c r="B531" s="16">
        <f t="shared" si="8"/>
        <v>3754.41</v>
      </c>
    </row>
    <row r="532" spans="2:2" ht="15.75" customHeight="1" x14ac:dyDescent="0.35">
      <c r="B532" s="16">
        <f t="shared" si="8"/>
        <v>232738.38</v>
      </c>
    </row>
    <row r="533" spans="2:2" ht="15.75" customHeight="1" x14ac:dyDescent="0.35">
      <c r="B533" s="16">
        <f t="shared" si="8"/>
        <v>16948.02</v>
      </c>
    </row>
    <row r="534" spans="2:2" ht="15.75" customHeight="1" x14ac:dyDescent="0.35">
      <c r="B534" s="16">
        <f t="shared" si="8"/>
        <v>72819.69</v>
      </c>
    </row>
    <row r="535" spans="2:2" ht="15.75" customHeight="1" x14ac:dyDescent="0.35">
      <c r="B535" s="16">
        <f t="shared" si="8"/>
        <v>154167.30000000002</v>
      </c>
    </row>
    <row r="536" spans="2:2" ht="15.75" customHeight="1" x14ac:dyDescent="0.35">
      <c r="B536" s="16">
        <f t="shared" si="8"/>
        <v>53088.12</v>
      </c>
    </row>
    <row r="537" spans="2:2" ht="15.75" customHeight="1" x14ac:dyDescent="0.35">
      <c r="B537" s="16">
        <f t="shared" si="8"/>
        <v>2747.67</v>
      </c>
    </row>
    <row r="538" spans="2:2" ht="15.75" customHeight="1" x14ac:dyDescent="0.35">
      <c r="B538" s="16">
        <f t="shared" si="8"/>
        <v>23156.399999999998</v>
      </c>
    </row>
    <row r="539" spans="2:2" ht="15.75" customHeight="1" x14ac:dyDescent="0.35">
      <c r="B539" s="16">
        <f t="shared" si="8"/>
        <v>122386.31999999999</v>
      </c>
    </row>
    <row r="540" spans="2:2" ht="15.75" customHeight="1" x14ac:dyDescent="0.35">
      <c r="B540" s="16">
        <f t="shared" si="8"/>
        <v>92224.74</v>
      </c>
    </row>
    <row r="541" spans="2:2" ht="15.75" customHeight="1" x14ac:dyDescent="0.35">
      <c r="B541" s="16">
        <f t="shared" si="8"/>
        <v>66677.66</v>
      </c>
    </row>
    <row r="542" spans="2:2" ht="15.75" customHeight="1" x14ac:dyDescent="0.35">
      <c r="B542" s="16">
        <f t="shared" si="8"/>
        <v>15857.4</v>
      </c>
    </row>
    <row r="543" spans="2:2" ht="15.75" customHeight="1" x14ac:dyDescent="0.35">
      <c r="B543" s="16">
        <f t="shared" si="8"/>
        <v>94112.079999999987</v>
      </c>
    </row>
    <row r="544" spans="2:2" ht="15.75" customHeight="1" x14ac:dyDescent="0.35">
      <c r="B544" s="16">
        <f t="shared" si="8"/>
        <v>204588.75</v>
      </c>
    </row>
    <row r="545" spans="2:2" ht="15.75" customHeight="1" x14ac:dyDescent="0.35">
      <c r="B545" s="16">
        <f t="shared" si="8"/>
        <v>117897</v>
      </c>
    </row>
    <row r="546" spans="2:2" ht="15.75" customHeight="1" x14ac:dyDescent="0.35">
      <c r="B546" s="16">
        <f t="shared" si="8"/>
        <v>220772.37</v>
      </c>
    </row>
    <row r="547" spans="2:2" ht="15.75" customHeight="1" x14ac:dyDescent="0.35">
      <c r="B547" s="16" t="str">
        <f t="shared" si="8"/>
        <v/>
      </c>
    </row>
    <row r="548" spans="2:2" ht="15.75" customHeight="1" x14ac:dyDescent="0.35">
      <c r="B548" s="16">
        <f t="shared" si="8"/>
        <v>12735.699999999999</v>
      </c>
    </row>
    <row r="549" spans="2:2" ht="15.75" customHeight="1" x14ac:dyDescent="0.35">
      <c r="B549" s="16">
        <f t="shared" si="8"/>
        <v>117446.84</v>
      </c>
    </row>
    <row r="550" spans="2:2" ht="15.75" customHeight="1" x14ac:dyDescent="0.35">
      <c r="B550" s="16">
        <f t="shared" si="8"/>
        <v>7456.6799999999994</v>
      </c>
    </row>
    <row r="551" spans="2:2" ht="15.75" customHeight="1" x14ac:dyDescent="0.35">
      <c r="B551" s="16">
        <f t="shared" si="8"/>
        <v>11990.55</v>
      </c>
    </row>
    <row r="552" spans="2:2" ht="15.75" customHeight="1" x14ac:dyDescent="0.35">
      <c r="B552" s="16">
        <f t="shared" si="8"/>
        <v>114473.2</v>
      </c>
    </row>
    <row r="553" spans="2:2" ht="15.75" customHeight="1" x14ac:dyDescent="0.35">
      <c r="B553" s="16">
        <f t="shared" si="8"/>
        <v>14297.36</v>
      </c>
    </row>
    <row r="554" spans="2:2" ht="15.75" customHeight="1" x14ac:dyDescent="0.35">
      <c r="B554" s="16">
        <f t="shared" si="8"/>
        <v>184403.25</v>
      </c>
    </row>
    <row r="555" spans="2:2" ht="15.75" customHeight="1" x14ac:dyDescent="0.35">
      <c r="B555" s="16">
        <f t="shared" si="8"/>
        <v>220534.8</v>
      </c>
    </row>
    <row r="556" spans="2:2" ht="15.75" customHeight="1" x14ac:dyDescent="0.35">
      <c r="B556" s="16">
        <f t="shared" si="8"/>
        <v>176646.6</v>
      </c>
    </row>
    <row r="557" spans="2:2" ht="15.75" customHeight="1" x14ac:dyDescent="0.35">
      <c r="B557" s="16">
        <f t="shared" si="8"/>
        <v>3335.93</v>
      </c>
    </row>
    <row r="558" spans="2:2" ht="15.75" customHeight="1" x14ac:dyDescent="0.35">
      <c r="B558" s="16">
        <f t="shared" si="8"/>
        <v>70992</v>
      </c>
    </row>
    <row r="559" spans="2:2" ht="15.75" customHeight="1" x14ac:dyDescent="0.35">
      <c r="B559" s="16">
        <f t="shared" si="8"/>
        <v>2065.35</v>
      </c>
    </row>
    <row r="560" spans="2:2" ht="15.75" customHeight="1" x14ac:dyDescent="0.35">
      <c r="B560" s="16">
        <f t="shared" si="8"/>
        <v>160557</v>
      </c>
    </row>
    <row r="561" spans="2:2" ht="15.75" customHeight="1" x14ac:dyDescent="0.35">
      <c r="B561" s="16">
        <f t="shared" si="8"/>
        <v>168475.03</v>
      </c>
    </row>
    <row r="562" spans="2:2" ht="15.75" customHeight="1" x14ac:dyDescent="0.35">
      <c r="B562" s="16">
        <f t="shared" si="8"/>
        <v>108854.34999999999</v>
      </c>
    </row>
    <row r="563" spans="2:2" ht="15.75" customHeight="1" x14ac:dyDescent="0.35">
      <c r="B563" s="16">
        <f t="shared" si="8"/>
        <v>65238.6</v>
      </c>
    </row>
    <row r="564" spans="2:2" ht="15.75" customHeight="1" x14ac:dyDescent="0.35">
      <c r="B564" s="16">
        <f t="shared" si="8"/>
        <v>5865.34</v>
      </c>
    </row>
    <row r="565" spans="2:2" ht="15.75" customHeight="1" x14ac:dyDescent="0.35">
      <c r="B565" s="16">
        <f t="shared" si="8"/>
        <v>208351.44</v>
      </c>
    </row>
    <row r="566" spans="2:2" ht="15.75" customHeight="1" x14ac:dyDescent="0.35">
      <c r="B566" s="16">
        <f t="shared" si="8"/>
        <v>17497.079999999998</v>
      </c>
    </row>
    <row r="567" spans="2:2" ht="15.75" customHeight="1" x14ac:dyDescent="0.35">
      <c r="B567" s="16">
        <f t="shared" si="8"/>
        <v>176654.66</v>
      </c>
    </row>
    <row r="568" spans="2:2" ht="15.75" customHeight="1" x14ac:dyDescent="0.35">
      <c r="B568" s="16">
        <f t="shared" si="8"/>
        <v>95098.08</v>
      </c>
    </row>
    <row r="569" spans="2:2" ht="15.75" customHeight="1" x14ac:dyDescent="0.35">
      <c r="B569" s="16">
        <f t="shared" si="8"/>
        <v>7293.5999999999995</v>
      </c>
    </row>
    <row r="570" spans="2:2" ht="15.75" customHeight="1" x14ac:dyDescent="0.35">
      <c r="B570" s="16">
        <f t="shared" si="8"/>
        <v>91361.200000000012</v>
      </c>
    </row>
    <row r="571" spans="2:2" ht="15.75" customHeight="1" x14ac:dyDescent="0.35">
      <c r="B571" s="16">
        <f t="shared" si="8"/>
        <v>64339.200000000004</v>
      </c>
    </row>
    <row r="572" spans="2:2" ht="15.75" customHeight="1" x14ac:dyDescent="0.35">
      <c r="B572" s="16">
        <f t="shared" si="8"/>
        <v>93183.3</v>
      </c>
    </row>
    <row r="573" spans="2:2" ht="15.75" customHeight="1" x14ac:dyDescent="0.35">
      <c r="B573" s="16">
        <f t="shared" si="8"/>
        <v>50940.42</v>
      </c>
    </row>
    <row r="574" spans="2:2" ht="15.75" customHeight="1" x14ac:dyDescent="0.35">
      <c r="B574" s="16">
        <f t="shared" si="8"/>
        <v>23847.599999999999</v>
      </c>
    </row>
    <row r="575" spans="2:2" ht="15.75" customHeight="1" x14ac:dyDescent="0.35">
      <c r="B575" s="16">
        <f t="shared" si="8"/>
        <v>73651.11</v>
      </c>
    </row>
    <row r="576" spans="2:2" ht="15.75" customHeight="1" x14ac:dyDescent="0.35">
      <c r="B576" s="16">
        <f t="shared" si="8"/>
        <v>82123.47</v>
      </c>
    </row>
    <row r="577" spans="2:2" ht="15.75" customHeight="1" x14ac:dyDescent="0.35">
      <c r="B577" s="16">
        <f t="shared" si="8"/>
        <v>41736.14</v>
      </c>
    </row>
    <row r="578" spans="2:2" ht="15.75" customHeight="1" x14ac:dyDescent="0.35">
      <c r="B578" s="16">
        <f t="shared" si="8"/>
        <v>50622.080000000002</v>
      </c>
    </row>
    <row r="579" spans="2:2" ht="15.75" customHeight="1" x14ac:dyDescent="0.35">
      <c r="B579" s="16">
        <f t="shared" si="8"/>
        <v>105970.29000000001</v>
      </c>
    </row>
    <row r="580" spans="2:2" ht="15.75" customHeight="1" x14ac:dyDescent="0.35">
      <c r="B580" s="16">
        <f t="shared" si="8"/>
        <v>1140.18</v>
      </c>
    </row>
    <row r="581" spans="2:2" ht="15.75" customHeight="1" x14ac:dyDescent="0.35">
      <c r="B581" s="16">
        <f t="shared" si="8"/>
        <v>9163.6</v>
      </c>
    </row>
    <row r="582" spans="2:2" ht="15.75" customHeight="1" x14ac:dyDescent="0.35">
      <c r="B582" s="16">
        <f t="shared" si="8"/>
        <v>41361.839999999997</v>
      </c>
    </row>
    <row r="583" spans="2:2" ht="15.75" customHeight="1" x14ac:dyDescent="0.35">
      <c r="B583" s="16">
        <f t="shared" ref="B583:B646" si="9">IF(OR(H194="",I194=""),"",H194*I194)</f>
        <v>11630.88</v>
      </c>
    </row>
    <row r="584" spans="2:2" ht="15.75" customHeight="1" x14ac:dyDescent="0.35">
      <c r="B584" s="16">
        <f t="shared" si="9"/>
        <v>77699.520000000004</v>
      </c>
    </row>
    <row r="585" spans="2:2" ht="15.75" customHeight="1" x14ac:dyDescent="0.35">
      <c r="B585" s="16">
        <f t="shared" si="9"/>
        <v>87441.12</v>
      </c>
    </row>
    <row r="586" spans="2:2" ht="15.75" customHeight="1" x14ac:dyDescent="0.35">
      <c r="B586" s="16">
        <f t="shared" si="9"/>
        <v>106926.77</v>
      </c>
    </row>
    <row r="587" spans="2:2" ht="15.75" customHeight="1" x14ac:dyDescent="0.35">
      <c r="B587" s="16">
        <f t="shared" si="9"/>
        <v>116615.1</v>
      </c>
    </row>
    <row r="588" spans="2:2" ht="15.75" customHeight="1" x14ac:dyDescent="0.35">
      <c r="B588" s="16">
        <f t="shared" si="9"/>
        <v>190533.15000000002</v>
      </c>
    </row>
    <row r="589" spans="2:2" ht="15.75" customHeight="1" x14ac:dyDescent="0.35">
      <c r="B589" s="16">
        <f t="shared" si="9"/>
        <v>46212.55</v>
      </c>
    </row>
    <row r="590" spans="2:2" ht="15.75" customHeight="1" x14ac:dyDescent="0.35">
      <c r="B590" s="16" t="str">
        <f t="shared" si="9"/>
        <v/>
      </c>
    </row>
    <row r="591" spans="2:2" ht="15.75" customHeight="1" x14ac:dyDescent="0.35">
      <c r="B591" s="16">
        <f t="shared" si="9"/>
        <v>1767.3</v>
      </c>
    </row>
    <row r="592" spans="2:2" ht="15.75" customHeight="1" x14ac:dyDescent="0.35">
      <c r="B592" s="16">
        <f t="shared" si="9"/>
        <v>24570</v>
      </c>
    </row>
    <row r="593" spans="2:2" ht="15.75" customHeight="1" x14ac:dyDescent="0.35">
      <c r="B593" s="16">
        <f t="shared" si="9"/>
        <v>125666.64</v>
      </c>
    </row>
    <row r="594" spans="2:2" ht="15.75" customHeight="1" x14ac:dyDescent="0.35">
      <c r="B594" s="16">
        <f t="shared" si="9"/>
        <v>46408.799999999996</v>
      </c>
    </row>
    <row r="595" spans="2:2" ht="15.75" customHeight="1" x14ac:dyDescent="0.35">
      <c r="B595" s="16">
        <f t="shared" si="9"/>
        <v>108913.92</v>
      </c>
    </row>
    <row r="596" spans="2:2" ht="15.75" customHeight="1" x14ac:dyDescent="0.35">
      <c r="B596" s="16">
        <f t="shared" si="9"/>
        <v>18619.530000000002</v>
      </c>
    </row>
    <row r="597" spans="2:2" ht="15.75" customHeight="1" x14ac:dyDescent="0.35">
      <c r="B597" s="16">
        <f t="shared" si="9"/>
        <v>75056.159999999989</v>
      </c>
    </row>
    <row r="598" spans="2:2" ht="15.75" customHeight="1" x14ac:dyDescent="0.35">
      <c r="B598" s="16">
        <f t="shared" si="9"/>
        <v>58453.2</v>
      </c>
    </row>
    <row r="599" spans="2:2" ht="15.75" customHeight="1" x14ac:dyDescent="0.35">
      <c r="B599" s="16">
        <f t="shared" si="9"/>
        <v>161626.5</v>
      </c>
    </row>
    <row r="600" spans="2:2" ht="15.75" customHeight="1" x14ac:dyDescent="0.35">
      <c r="B600" s="16">
        <f t="shared" si="9"/>
        <v>121510.62</v>
      </c>
    </row>
    <row r="601" spans="2:2" ht="15.75" customHeight="1" x14ac:dyDescent="0.35">
      <c r="B601" s="16">
        <f t="shared" si="9"/>
        <v>163183.67999999999</v>
      </c>
    </row>
    <row r="602" spans="2:2" ht="15.75" customHeight="1" x14ac:dyDescent="0.35">
      <c r="B602" s="16">
        <f t="shared" si="9"/>
        <v>58062.48</v>
      </c>
    </row>
    <row r="603" spans="2:2" ht="15.75" customHeight="1" x14ac:dyDescent="0.35">
      <c r="B603" s="16">
        <f t="shared" si="9"/>
        <v>30074.29</v>
      </c>
    </row>
    <row r="604" spans="2:2" ht="15.75" customHeight="1" x14ac:dyDescent="0.35">
      <c r="B604" s="16">
        <f t="shared" si="9"/>
        <v>15668.92</v>
      </c>
    </row>
    <row r="605" spans="2:2" ht="15.75" customHeight="1" x14ac:dyDescent="0.35">
      <c r="B605" s="16">
        <f t="shared" si="9"/>
        <v>205828.36000000002</v>
      </c>
    </row>
    <row r="606" spans="2:2" ht="15.75" customHeight="1" x14ac:dyDescent="0.35">
      <c r="B606" s="16">
        <f t="shared" si="9"/>
        <v>7897.68</v>
      </c>
    </row>
    <row r="607" spans="2:2" ht="15.75" customHeight="1" x14ac:dyDescent="0.35">
      <c r="B607" s="16">
        <f t="shared" si="9"/>
        <v>33026.939999999995</v>
      </c>
    </row>
    <row r="608" spans="2:2" ht="15.75" customHeight="1" x14ac:dyDescent="0.35">
      <c r="B608" s="16">
        <f t="shared" si="9"/>
        <v>46575.86</v>
      </c>
    </row>
    <row r="609" spans="2:2" ht="15.75" customHeight="1" x14ac:dyDescent="0.35">
      <c r="B609" s="16">
        <f t="shared" si="9"/>
        <v>41658.400000000001</v>
      </c>
    </row>
    <row r="610" spans="2:2" ht="15.75" customHeight="1" x14ac:dyDescent="0.35">
      <c r="B610" s="16">
        <f t="shared" si="9"/>
        <v>33330.99</v>
      </c>
    </row>
    <row r="611" spans="2:2" ht="15.75" customHeight="1" x14ac:dyDescent="0.35">
      <c r="B611" s="16">
        <f t="shared" si="9"/>
        <v>25325.7</v>
      </c>
    </row>
    <row r="612" spans="2:2" ht="15.75" customHeight="1" x14ac:dyDescent="0.35">
      <c r="B612" s="16">
        <f t="shared" si="9"/>
        <v>89760.51</v>
      </c>
    </row>
    <row r="613" spans="2:2" ht="15.75" customHeight="1" x14ac:dyDescent="0.35">
      <c r="B613" s="16">
        <f t="shared" si="9"/>
        <v>5542.53</v>
      </c>
    </row>
    <row r="614" spans="2:2" ht="15.75" customHeight="1" x14ac:dyDescent="0.35">
      <c r="B614" s="16">
        <f t="shared" si="9"/>
        <v>95286.099999999991</v>
      </c>
    </row>
    <row r="615" spans="2:2" ht="15.75" customHeight="1" x14ac:dyDescent="0.35">
      <c r="B615" s="16">
        <f t="shared" si="9"/>
        <v>130242</v>
      </c>
    </row>
    <row r="616" spans="2:2" ht="15.75" customHeight="1" x14ac:dyDescent="0.35">
      <c r="B616" s="16">
        <f t="shared" si="9"/>
        <v>58257.990000000005</v>
      </c>
    </row>
    <row r="617" spans="2:2" ht="15.75" customHeight="1" x14ac:dyDescent="0.35">
      <c r="B617" s="16">
        <f t="shared" si="9"/>
        <v>10532.16</v>
      </c>
    </row>
    <row r="618" spans="2:2" ht="15.75" customHeight="1" x14ac:dyDescent="0.35">
      <c r="B618" s="16" t="str">
        <f t="shared" si="9"/>
        <v/>
      </c>
    </row>
    <row r="619" spans="2:2" ht="15.75" customHeight="1" x14ac:dyDescent="0.35">
      <c r="B619" s="16">
        <f t="shared" si="9"/>
        <v>24855.870000000003</v>
      </c>
    </row>
    <row r="620" spans="2:2" ht="15.75" customHeight="1" x14ac:dyDescent="0.35">
      <c r="B620" s="16">
        <f t="shared" si="9"/>
        <v>89095.049999999988</v>
      </c>
    </row>
    <row r="621" spans="2:2" ht="15.75" customHeight="1" x14ac:dyDescent="0.35">
      <c r="B621" s="16">
        <f t="shared" si="9"/>
        <v>235447.36000000002</v>
      </c>
    </row>
    <row r="622" spans="2:2" ht="15.75" customHeight="1" x14ac:dyDescent="0.35">
      <c r="B622" s="16">
        <f t="shared" si="9"/>
        <v>63520.380000000005</v>
      </c>
    </row>
    <row r="623" spans="2:2" ht="15.75" customHeight="1" x14ac:dyDescent="0.35">
      <c r="B623" s="16">
        <f t="shared" si="9"/>
        <v>26890.26</v>
      </c>
    </row>
    <row r="624" spans="2:2" ht="15.75" customHeight="1" x14ac:dyDescent="0.35">
      <c r="B624" s="16">
        <f t="shared" si="9"/>
        <v>20988</v>
      </c>
    </row>
    <row r="625" spans="2:2" ht="15.75" customHeight="1" x14ac:dyDescent="0.35">
      <c r="B625" s="16">
        <f t="shared" si="9"/>
        <v>7316.97</v>
      </c>
    </row>
    <row r="626" spans="2:2" ht="15.75" customHeight="1" x14ac:dyDescent="0.35">
      <c r="B626" s="16">
        <f t="shared" si="9"/>
        <v>35278.32</v>
      </c>
    </row>
    <row r="627" spans="2:2" ht="15.75" customHeight="1" x14ac:dyDescent="0.35">
      <c r="B627" s="16">
        <f t="shared" si="9"/>
        <v>3469.32</v>
      </c>
    </row>
    <row r="628" spans="2:2" ht="15.75" customHeight="1" x14ac:dyDescent="0.35">
      <c r="B628" s="16">
        <f t="shared" si="9"/>
        <v>27662.28</v>
      </c>
    </row>
    <row r="629" spans="2:2" ht="15.75" customHeight="1" x14ac:dyDescent="0.35">
      <c r="B629" s="16">
        <f t="shared" si="9"/>
        <v>23466.66</v>
      </c>
    </row>
    <row r="630" spans="2:2" ht="15.75" customHeight="1" x14ac:dyDescent="0.35">
      <c r="B630" s="16">
        <f t="shared" si="9"/>
        <v>20111.52</v>
      </c>
    </row>
    <row r="631" spans="2:2" ht="15.75" customHeight="1" x14ac:dyDescent="0.35">
      <c r="B631" s="16">
        <f t="shared" si="9"/>
        <v>181878.84</v>
      </c>
    </row>
    <row r="632" spans="2:2" ht="15.75" customHeight="1" x14ac:dyDescent="0.35">
      <c r="B632" s="16">
        <f t="shared" si="9"/>
        <v>77020.12</v>
      </c>
    </row>
    <row r="633" spans="2:2" ht="15.75" customHeight="1" x14ac:dyDescent="0.35">
      <c r="B633" s="16">
        <f t="shared" si="9"/>
        <v>21972.559999999998</v>
      </c>
    </row>
    <row r="634" spans="2:2" ht="15.75" customHeight="1" x14ac:dyDescent="0.35">
      <c r="B634" s="16">
        <f t="shared" si="9"/>
        <v>178645.6</v>
      </c>
    </row>
    <row r="635" spans="2:2" ht="15.75" customHeight="1" x14ac:dyDescent="0.35">
      <c r="B635" s="16">
        <f t="shared" si="9"/>
        <v>36079.1</v>
      </c>
    </row>
    <row r="636" spans="2:2" ht="15.75" customHeight="1" x14ac:dyDescent="0.35">
      <c r="B636" s="16">
        <f t="shared" si="9"/>
        <v>8765.4600000000009</v>
      </c>
    </row>
    <row r="637" spans="2:2" ht="15.75" customHeight="1" x14ac:dyDescent="0.35">
      <c r="B637" s="16">
        <f t="shared" si="9"/>
        <v>19691.75</v>
      </c>
    </row>
    <row r="638" spans="2:2" ht="15.75" customHeight="1" x14ac:dyDescent="0.35">
      <c r="B638" s="16">
        <f t="shared" si="9"/>
        <v>2430.36</v>
      </c>
    </row>
    <row r="639" spans="2:2" ht="15.75" customHeight="1" x14ac:dyDescent="0.35">
      <c r="B639" s="16">
        <f t="shared" si="9"/>
        <v>127036.8</v>
      </c>
    </row>
    <row r="640" spans="2:2" ht="15.75" customHeight="1" x14ac:dyDescent="0.35">
      <c r="B640" s="16">
        <f t="shared" si="9"/>
        <v>107384.12999999999</v>
      </c>
    </row>
    <row r="641" spans="2:2" ht="15.75" customHeight="1" x14ac:dyDescent="0.35">
      <c r="B641" s="16" t="str">
        <f t="shared" si="9"/>
        <v/>
      </c>
    </row>
    <row r="642" spans="2:2" ht="15.75" customHeight="1" x14ac:dyDescent="0.35">
      <c r="B642" s="16">
        <f t="shared" si="9"/>
        <v>9549.5999999999985</v>
      </c>
    </row>
    <row r="643" spans="2:2" ht="15.75" customHeight="1" x14ac:dyDescent="0.35">
      <c r="B643" s="16">
        <f t="shared" si="9"/>
        <v>52661.34</v>
      </c>
    </row>
    <row r="644" spans="2:2" ht="15.75" customHeight="1" x14ac:dyDescent="0.35">
      <c r="B644" s="16">
        <f t="shared" si="9"/>
        <v>21138.81</v>
      </c>
    </row>
    <row r="645" spans="2:2" ht="15.75" customHeight="1" x14ac:dyDescent="0.35">
      <c r="B645" s="16">
        <f t="shared" si="9"/>
        <v>39469.700000000004</v>
      </c>
    </row>
    <row r="646" spans="2:2" ht="15.75" customHeight="1" x14ac:dyDescent="0.35">
      <c r="B646" s="16">
        <f t="shared" si="9"/>
        <v>210386.88</v>
      </c>
    </row>
    <row r="647" spans="2:2" ht="15.75" customHeight="1" x14ac:dyDescent="0.35">
      <c r="B647" s="16" t="str">
        <f t="shared" ref="B647:B710" si="10">IF(OR(H258="",I258=""),"",H258*I258)</f>
        <v/>
      </c>
    </row>
    <row r="648" spans="2:2" ht="15.75" customHeight="1" x14ac:dyDescent="0.35">
      <c r="B648" s="16">
        <f t="shared" si="10"/>
        <v>109691.14000000001</v>
      </c>
    </row>
    <row r="649" spans="2:2" ht="15.75" customHeight="1" x14ac:dyDescent="0.35">
      <c r="B649" s="16">
        <f t="shared" si="10"/>
        <v>32227.3</v>
      </c>
    </row>
    <row r="650" spans="2:2" ht="15.75" customHeight="1" x14ac:dyDescent="0.35">
      <c r="B650" s="16">
        <f t="shared" si="10"/>
        <v>53927.48</v>
      </c>
    </row>
    <row r="651" spans="2:2" ht="15.75" customHeight="1" x14ac:dyDescent="0.35">
      <c r="B651" s="16" t="str">
        <f t="shared" si="10"/>
        <v/>
      </c>
    </row>
    <row r="652" spans="2:2" ht="15.75" customHeight="1" x14ac:dyDescent="0.35">
      <c r="B652" s="16">
        <f t="shared" si="10"/>
        <v>7673.94</v>
      </c>
    </row>
    <row r="653" spans="2:2" ht="15.75" customHeight="1" x14ac:dyDescent="0.35">
      <c r="B653" s="16">
        <f t="shared" si="10"/>
        <v>59038</v>
      </c>
    </row>
    <row r="654" spans="2:2" ht="15.75" customHeight="1" x14ac:dyDescent="0.35">
      <c r="B654" s="16">
        <f t="shared" si="10"/>
        <v>178922.52000000002</v>
      </c>
    </row>
    <row r="655" spans="2:2" ht="15.75" customHeight="1" x14ac:dyDescent="0.35">
      <c r="B655" s="16">
        <f t="shared" si="10"/>
        <v>174173.97</v>
      </c>
    </row>
    <row r="656" spans="2:2" ht="15.75" customHeight="1" x14ac:dyDescent="0.35">
      <c r="B656" s="16">
        <f t="shared" si="10"/>
        <v>25944.799999999999</v>
      </c>
    </row>
    <row r="657" spans="2:2" ht="15.75" customHeight="1" x14ac:dyDescent="0.35">
      <c r="B657" s="16">
        <f t="shared" si="10"/>
        <v>47911.549999999996</v>
      </c>
    </row>
    <row r="658" spans="2:2" ht="15.75" customHeight="1" x14ac:dyDescent="0.35">
      <c r="B658" s="16">
        <f t="shared" si="10"/>
        <v>10171.980000000001</v>
      </c>
    </row>
    <row r="659" spans="2:2" ht="15.75" customHeight="1" x14ac:dyDescent="0.35">
      <c r="B659" s="16">
        <f t="shared" si="10"/>
        <v>47968.799999999996</v>
      </c>
    </row>
    <row r="660" spans="2:2" ht="15.75" customHeight="1" x14ac:dyDescent="0.35">
      <c r="B660" s="16">
        <f t="shared" si="10"/>
        <v>153653.84</v>
      </c>
    </row>
    <row r="661" spans="2:2" ht="15.75" customHeight="1" x14ac:dyDescent="0.35">
      <c r="B661" s="16">
        <f t="shared" si="10"/>
        <v>19365.48</v>
      </c>
    </row>
    <row r="662" spans="2:2" ht="15.75" customHeight="1" x14ac:dyDescent="0.35">
      <c r="B662" s="16">
        <f t="shared" si="10"/>
        <v>109080</v>
      </c>
    </row>
    <row r="663" spans="2:2" ht="15.75" customHeight="1" x14ac:dyDescent="0.35">
      <c r="B663" s="16">
        <f t="shared" si="10"/>
        <v>6813.09</v>
      </c>
    </row>
    <row r="664" spans="2:2" ht="15.75" customHeight="1" x14ac:dyDescent="0.35">
      <c r="B664" s="16">
        <f t="shared" si="10"/>
        <v>34147.979999999996</v>
      </c>
    </row>
    <row r="665" spans="2:2" ht="15.75" customHeight="1" x14ac:dyDescent="0.35">
      <c r="B665" s="16">
        <f t="shared" si="10"/>
        <v>25935.46</v>
      </c>
    </row>
    <row r="666" spans="2:2" ht="15.75" customHeight="1" x14ac:dyDescent="0.35">
      <c r="B666" s="16">
        <f t="shared" si="10"/>
        <v>8671.86</v>
      </c>
    </row>
    <row r="667" spans="2:2" ht="15.75" customHeight="1" x14ac:dyDescent="0.35">
      <c r="B667" s="16">
        <f t="shared" si="10"/>
        <v>91745.94</v>
      </c>
    </row>
    <row r="668" spans="2:2" ht="15.75" customHeight="1" x14ac:dyDescent="0.35">
      <c r="B668" s="16">
        <f t="shared" si="10"/>
        <v>37401.279999999999</v>
      </c>
    </row>
    <row r="669" spans="2:2" ht="15.75" customHeight="1" x14ac:dyDescent="0.35">
      <c r="B669" s="16">
        <f t="shared" si="10"/>
        <v>154792.95000000001</v>
      </c>
    </row>
    <row r="670" spans="2:2" ht="15.75" customHeight="1" x14ac:dyDescent="0.35">
      <c r="B670" s="16">
        <f t="shared" si="10"/>
        <v>11166.259999999998</v>
      </c>
    </row>
    <row r="671" spans="2:2" ht="15.75" customHeight="1" x14ac:dyDescent="0.35">
      <c r="B671" s="16">
        <f t="shared" si="10"/>
        <v>26087.460000000003</v>
      </c>
    </row>
    <row r="672" spans="2:2" ht="15.75" customHeight="1" x14ac:dyDescent="0.35">
      <c r="B672" s="16">
        <f t="shared" si="10"/>
        <v>52837.5</v>
      </c>
    </row>
    <row r="673" spans="2:2" ht="15.75" customHeight="1" x14ac:dyDescent="0.35">
      <c r="B673" s="16">
        <f t="shared" si="10"/>
        <v>31256.160000000003</v>
      </c>
    </row>
    <row r="674" spans="2:2" ht="15.75" customHeight="1" x14ac:dyDescent="0.35">
      <c r="B674" s="16">
        <f t="shared" si="10"/>
        <v>59419.5</v>
      </c>
    </row>
    <row r="675" spans="2:2" ht="15.75" customHeight="1" x14ac:dyDescent="0.35">
      <c r="B675" s="16">
        <f t="shared" si="10"/>
        <v>9189.74</v>
      </c>
    </row>
    <row r="676" spans="2:2" ht="15.75" customHeight="1" x14ac:dyDescent="0.35">
      <c r="B676" s="16">
        <f t="shared" si="10"/>
        <v>4513.3999999999996</v>
      </c>
    </row>
    <row r="677" spans="2:2" ht="15.75" customHeight="1" x14ac:dyDescent="0.35">
      <c r="B677" s="16">
        <f t="shared" si="10"/>
        <v>112728.4</v>
      </c>
    </row>
    <row r="678" spans="2:2" ht="15.75" customHeight="1" x14ac:dyDescent="0.35">
      <c r="B678" s="16" t="str">
        <f t="shared" si="10"/>
        <v/>
      </c>
    </row>
    <row r="679" spans="2:2" ht="15.75" customHeight="1" x14ac:dyDescent="0.35">
      <c r="B679" s="16" t="str">
        <f t="shared" si="10"/>
        <v/>
      </c>
    </row>
    <row r="680" spans="2:2" ht="15.75" customHeight="1" x14ac:dyDescent="0.35">
      <c r="B680" s="16">
        <f t="shared" si="10"/>
        <v>45538.86</v>
      </c>
    </row>
    <row r="681" spans="2:2" ht="15.75" customHeight="1" x14ac:dyDescent="0.35">
      <c r="B681" s="16">
        <f t="shared" si="10"/>
        <v>131758.06</v>
      </c>
    </row>
    <row r="682" spans="2:2" ht="15.75" customHeight="1" x14ac:dyDescent="0.35">
      <c r="B682" s="16">
        <f t="shared" si="10"/>
        <v>68943.930000000008</v>
      </c>
    </row>
    <row r="683" spans="2:2" ht="15.75" customHeight="1" x14ac:dyDescent="0.35">
      <c r="B683" s="16">
        <f t="shared" si="10"/>
        <v>125091.48000000001</v>
      </c>
    </row>
    <row r="684" spans="2:2" ht="15.75" customHeight="1" x14ac:dyDescent="0.35">
      <c r="B684" s="16" t="str">
        <f t="shared" si="10"/>
        <v/>
      </c>
    </row>
    <row r="685" spans="2:2" ht="15.75" customHeight="1" x14ac:dyDescent="0.35">
      <c r="B685" s="16">
        <f t="shared" si="10"/>
        <v>25590.560000000001</v>
      </c>
    </row>
    <row r="686" spans="2:2" ht="15.75" customHeight="1" x14ac:dyDescent="0.35">
      <c r="B686" s="16">
        <f t="shared" si="10"/>
        <v>31468.74</v>
      </c>
    </row>
    <row r="687" spans="2:2" ht="15.75" customHeight="1" x14ac:dyDescent="0.35">
      <c r="B687" s="16">
        <f t="shared" si="10"/>
        <v>14994.999999999998</v>
      </c>
    </row>
    <row r="688" spans="2:2" ht="15.75" customHeight="1" x14ac:dyDescent="0.35">
      <c r="B688" s="16">
        <f t="shared" si="10"/>
        <v>83471.899999999994</v>
      </c>
    </row>
    <row r="689" spans="2:2" ht="15.75" customHeight="1" x14ac:dyDescent="0.35">
      <c r="B689" s="16">
        <f t="shared" si="10"/>
        <v>15864.4</v>
      </c>
    </row>
    <row r="690" spans="2:2" ht="15.75" customHeight="1" x14ac:dyDescent="0.35">
      <c r="B690" s="16">
        <f t="shared" si="10"/>
        <v>67573.16</v>
      </c>
    </row>
    <row r="691" spans="2:2" ht="15.75" customHeight="1" x14ac:dyDescent="0.35">
      <c r="B691" s="16">
        <f t="shared" si="10"/>
        <v>17076.95</v>
      </c>
    </row>
    <row r="692" spans="2:2" ht="15.75" customHeight="1" x14ac:dyDescent="0.35">
      <c r="B692" s="16">
        <f t="shared" si="10"/>
        <v>37854.310000000005</v>
      </c>
    </row>
    <row r="693" spans="2:2" ht="15.75" customHeight="1" x14ac:dyDescent="0.35">
      <c r="B693" s="16">
        <f t="shared" si="10"/>
        <v>196715.44</v>
      </c>
    </row>
    <row r="694" spans="2:2" ht="15.75" customHeight="1" x14ac:dyDescent="0.35">
      <c r="B694" s="16">
        <f t="shared" si="10"/>
        <v>29944.05</v>
      </c>
    </row>
    <row r="695" spans="2:2" ht="15.75" customHeight="1" x14ac:dyDescent="0.35">
      <c r="B695" s="16">
        <f t="shared" si="10"/>
        <v>12638.779999999999</v>
      </c>
    </row>
    <row r="696" spans="2:2" ht="15.75" customHeight="1" x14ac:dyDescent="0.35">
      <c r="B696" s="16">
        <f t="shared" si="10"/>
        <v>30578.6</v>
      </c>
    </row>
    <row r="697" spans="2:2" ht="15.75" customHeight="1" x14ac:dyDescent="0.35">
      <c r="B697" s="16">
        <f t="shared" si="10"/>
        <v>14061.22</v>
      </c>
    </row>
    <row r="698" spans="2:2" ht="15.75" customHeight="1" x14ac:dyDescent="0.35">
      <c r="B698" s="16" t="str">
        <f t="shared" si="10"/>
        <v/>
      </c>
    </row>
    <row r="699" spans="2:2" ht="15.75" customHeight="1" x14ac:dyDescent="0.35">
      <c r="B699" s="16">
        <f t="shared" si="10"/>
        <v>58083.9</v>
      </c>
    </row>
    <row r="700" spans="2:2" ht="15.75" customHeight="1" x14ac:dyDescent="0.35">
      <c r="B700" s="16">
        <f t="shared" si="10"/>
        <v>25163.86</v>
      </c>
    </row>
    <row r="701" spans="2:2" ht="15.75" customHeight="1" x14ac:dyDescent="0.35">
      <c r="B701" s="16">
        <f t="shared" si="10"/>
        <v>100087.95</v>
      </c>
    </row>
    <row r="702" spans="2:2" ht="15.75" customHeight="1" x14ac:dyDescent="0.35">
      <c r="B702" s="16">
        <f t="shared" si="10"/>
        <v>42164.25</v>
      </c>
    </row>
    <row r="703" spans="2:2" ht="15.75" customHeight="1" x14ac:dyDescent="0.35">
      <c r="B703" s="16">
        <f t="shared" si="10"/>
        <v>7758.41</v>
      </c>
    </row>
    <row r="704" spans="2:2" ht="15.75" customHeight="1" x14ac:dyDescent="0.35">
      <c r="B704" s="16" t="str">
        <f t="shared" si="10"/>
        <v/>
      </c>
    </row>
    <row r="705" spans="2:2" ht="15.75" customHeight="1" x14ac:dyDescent="0.35">
      <c r="B705" s="16">
        <f t="shared" si="10"/>
        <v>2031.26</v>
      </c>
    </row>
    <row r="706" spans="2:2" ht="15.75" customHeight="1" x14ac:dyDescent="0.35">
      <c r="B706" s="16">
        <f t="shared" si="10"/>
        <v>116475.84</v>
      </c>
    </row>
    <row r="707" spans="2:2" ht="15.75" customHeight="1" x14ac:dyDescent="0.35">
      <c r="B707" s="16" t="str">
        <f t="shared" si="10"/>
        <v/>
      </c>
    </row>
    <row r="708" spans="2:2" ht="15.75" customHeight="1" x14ac:dyDescent="0.35">
      <c r="B708" s="16">
        <f t="shared" si="10"/>
        <v>41169.040000000001</v>
      </c>
    </row>
    <row r="709" spans="2:2" ht="15.75" customHeight="1" x14ac:dyDescent="0.35">
      <c r="B709" s="16">
        <f t="shared" si="10"/>
        <v>137399.79999999999</v>
      </c>
    </row>
    <row r="710" spans="2:2" ht="15.75" customHeight="1" x14ac:dyDescent="0.35">
      <c r="B710" s="16">
        <f t="shared" si="10"/>
        <v>20701.62</v>
      </c>
    </row>
    <row r="711" spans="2:2" ht="15.75" customHeight="1" x14ac:dyDescent="0.35">
      <c r="B711" s="16">
        <f t="shared" ref="B711:B740" si="11">IF(OR(H322="",I322=""),"",H322*I322)</f>
        <v>204914.52</v>
      </c>
    </row>
    <row r="712" spans="2:2" ht="15.75" customHeight="1" x14ac:dyDescent="0.35">
      <c r="B712" s="16">
        <f t="shared" si="11"/>
        <v>27460.66</v>
      </c>
    </row>
    <row r="713" spans="2:2" ht="15.75" customHeight="1" x14ac:dyDescent="0.35">
      <c r="B713" s="16">
        <f t="shared" si="11"/>
        <v>47330</v>
      </c>
    </row>
    <row r="714" spans="2:2" ht="15.75" customHeight="1" x14ac:dyDescent="0.35">
      <c r="B714" s="16">
        <f t="shared" si="11"/>
        <v>14570.57</v>
      </c>
    </row>
    <row r="715" spans="2:2" ht="15.75" customHeight="1" x14ac:dyDescent="0.35">
      <c r="B715" s="16">
        <f t="shared" si="11"/>
        <v>86191.35</v>
      </c>
    </row>
    <row r="716" spans="2:2" ht="15.75" customHeight="1" x14ac:dyDescent="0.35">
      <c r="B716" s="16">
        <f t="shared" si="11"/>
        <v>23993.759999999998</v>
      </c>
    </row>
    <row r="717" spans="2:2" ht="15.75" customHeight="1" x14ac:dyDescent="0.35">
      <c r="B717" s="16">
        <f t="shared" si="11"/>
        <v>83593.37000000001</v>
      </c>
    </row>
    <row r="718" spans="2:2" ht="15.75" customHeight="1" x14ac:dyDescent="0.35">
      <c r="B718" s="16" t="str">
        <f t="shared" si="11"/>
        <v/>
      </c>
    </row>
    <row r="719" spans="2:2" ht="15.75" customHeight="1" x14ac:dyDescent="0.35">
      <c r="B719" s="16">
        <f t="shared" si="11"/>
        <v>56642.559999999998</v>
      </c>
    </row>
    <row r="720" spans="2:2" ht="15.75" customHeight="1" x14ac:dyDescent="0.35">
      <c r="B720" s="16">
        <f t="shared" si="11"/>
        <v>48580.29</v>
      </c>
    </row>
    <row r="721" spans="2:2" ht="15.75" customHeight="1" x14ac:dyDescent="0.35">
      <c r="B721" s="16">
        <f t="shared" si="11"/>
        <v>43932.81</v>
      </c>
    </row>
    <row r="722" spans="2:2" ht="15.75" customHeight="1" x14ac:dyDescent="0.35">
      <c r="B722" s="16">
        <f t="shared" si="11"/>
        <v>25459.85</v>
      </c>
    </row>
    <row r="723" spans="2:2" ht="15.75" customHeight="1" x14ac:dyDescent="0.35">
      <c r="B723" s="16">
        <f t="shared" si="11"/>
        <v>9776.64</v>
      </c>
    </row>
    <row r="724" spans="2:2" ht="15.75" customHeight="1" x14ac:dyDescent="0.35">
      <c r="B724" s="16">
        <f t="shared" si="11"/>
        <v>239220.11</v>
      </c>
    </row>
    <row r="725" spans="2:2" ht="15.75" customHeight="1" x14ac:dyDescent="0.35">
      <c r="B725" s="16">
        <f t="shared" si="11"/>
        <v>1714.65</v>
      </c>
    </row>
    <row r="726" spans="2:2" ht="15.75" customHeight="1" x14ac:dyDescent="0.35">
      <c r="B726" s="16">
        <f t="shared" si="11"/>
        <v>142041.59999999998</v>
      </c>
    </row>
    <row r="727" spans="2:2" ht="15.75" customHeight="1" x14ac:dyDescent="0.35">
      <c r="B727" s="16">
        <f t="shared" si="11"/>
        <v>168446.02</v>
      </c>
    </row>
    <row r="728" spans="2:2" ht="15.75" customHeight="1" x14ac:dyDescent="0.35">
      <c r="B728" s="16">
        <f t="shared" si="11"/>
        <v>39441.54</v>
      </c>
    </row>
    <row r="729" spans="2:2" ht="15.75" customHeight="1" x14ac:dyDescent="0.35">
      <c r="B729" s="16">
        <f t="shared" si="11"/>
        <v>124507.98000000001</v>
      </c>
    </row>
    <row r="730" spans="2:2" ht="15.75" customHeight="1" x14ac:dyDescent="0.35">
      <c r="B730" s="16">
        <f t="shared" si="11"/>
        <v>23868</v>
      </c>
    </row>
    <row r="731" spans="2:2" ht="15.75" customHeight="1" x14ac:dyDescent="0.35">
      <c r="B731" s="16">
        <f t="shared" si="11"/>
        <v>43110.240000000005</v>
      </c>
    </row>
    <row r="732" spans="2:2" ht="15.75" customHeight="1" x14ac:dyDescent="0.35">
      <c r="B732" s="16">
        <f t="shared" si="11"/>
        <v>181704.6</v>
      </c>
    </row>
    <row r="733" spans="2:2" ht="15.75" customHeight="1" x14ac:dyDescent="0.35">
      <c r="B733" s="16">
        <f t="shared" si="11"/>
        <v>57158.64</v>
      </c>
    </row>
    <row r="734" spans="2:2" ht="15.75" customHeight="1" x14ac:dyDescent="0.35">
      <c r="B734" s="16">
        <f t="shared" si="11"/>
        <v>122173.79999999999</v>
      </c>
    </row>
    <row r="735" spans="2:2" ht="15.75" customHeight="1" x14ac:dyDescent="0.35">
      <c r="B735" s="16">
        <f t="shared" si="11"/>
        <v>4606.0199999999995</v>
      </c>
    </row>
    <row r="736" spans="2:2" ht="15.75" customHeight="1" x14ac:dyDescent="0.35">
      <c r="B736" s="16">
        <f t="shared" si="11"/>
        <v>22726.06</v>
      </c>
    </row>
    <row r="737" spans="2:6" ht="15.75" customHeight="1" x14ac:dyDescent="0.35">
      <c r="B737" s="16">
        <f t="shared" si="11"/>
        <v>2971.6800000000003</v>
      </c>
    </row>
    <row r="738" spans="2:6" ht="15.75" customHeight="1" x14ac:dyDescent="0.35">
      <c r="B738" s="16">
        <f t="shared" si="11"/>
        <v>23272.32</v>
      </c>
    </row>
    <row r="739" spans="2:6" ht="15.75" customHeight="1" x14ac:dyDescent="0.35">
      <c r="B739" s="16">
        <f t="shared" si="11"/>
        <v>27269.280000000002</v>
      </c>
    </row>
    <row r="740" spans="2:6" ht="15.75" customHeight="1" x14ac:dyDescent="0.35">
      <c r="B740" s="16">
        <f t="shared" si="11"/>
        <v>74005.25</v>
      </c>
    </row>
    <row r="741" spans="2:6" ht="15.75" customHeight="1" x14ac:dyDescent="0.35">
      <c r="E741" s="13"/>
    </row>
    <row r="742" spans="2:6" ht="15.75" customHeight="1" x14ac:dyDescent="0.35">
      <c r="B742" s="12" t="s">
        <v>403</v>
      </c>
    </row>
    <row r="743" spans="2:6" ht="15.75" customHeight="1" x14ac:dyDescent="0.35"/>
    <row r="744" spans="2:6" ht="15.75" customHeight="1" x14ac:dyDescent="0.35">
      <c r="B744" s="21" t="s">
        <v>405</v>
      </c>
    </row>
    <row r="745" spans="2:6" ht="15.75" customHeight="1" x14ac:dyDescent="0.35"/>
    <row r="746" spans="2:6" ht="15.75" customHeight="1" x14ac:dyDescent="0.35">
      <c r="B746" s="17" t="s">
        <v>0</v>
      </c>
      <c r="C746" s="17" t="s">
        <v>7</v>
      </c>
      <c r="D746" s="17" t="s">
        <v>8</v>
      </c>
      <c r="E746" s="17" t="s">
        <v>406</v>
      </c>
      <c r="F746" s="17" t="s">
        <v>404</v>
      </c>
    </row>
    <row r="747" spans="2:6" ht="15.75" customHeight="1" x14ac:dyDescent="0.35">
      <c r="B747" t="s">
        <v>151</v>
      </c>
      <c r="C747">
        <v>46</v>
      </c>
      <c r="D747" s="18">
        <v>344.55</v>
      </c>
      <c r="E747" s="19">
        <v>15849.3</v>
      </c>
    </row>
    <row r="748" spans="2:6" ht="15.75" customHeight="1" x14ac:dyDescent="0.35"/>
    <row r="749" spans="2:6" ht="15.75" customHeight="1" x14ac:dyDescent="0.35">
      <c r="B749" s="22" t="s">
        <v>407</v>
      </c>
    </row>
    <row r="750" spans="2:6" ht="15.75" customHeight="1" x14ac:dyDescent="0.35"/>
    <row r="751" spans="2:6" ht="15.75" customHeight="1" x14ac:dyDescent="0.35"/>
    <row r="752" spans="2:6" ht="15.75" customHeight="1" x14ac:dyDescent="0.35">
      <c r="B752" s="12" t="s">
        <v>408</v>
      </c>
    </row>
    <row r="753" spans="2:3" ht="15.75" customHeight="1" x14ac:dyDescent="0.35"/>
    <row r="754" spans="2:3" ht="15.75" customHeight="1" x14ac:dyDescent="0.35">
      <c r="B754" s="12" t="s">
        <v>411</v>
      </c>
    </row>
    <row r="755" spans="2:3" ht="15.75" customHeight="1" x14ac:dyDescent="0.35">
      <c r="B755" s="23" t="s">
        <v>1</v>
      </c>
      <c r="C755" s="23" t="s">
        <v>410</v>
      </c>
    </row>
    <row r="756" spans="2:3" ht="15.75" customHeight="1" x14ac:dyDescent="0.35">
      <c r="B756" s="6" t="s">
        <v>11</v>
      </c>
      <c r="C756" s="24">
        <f>AVERAGEIF(B2:B351,"East",K2:K351)</f>
        <v>14326.302588235294</v>
      </c>
    </row>
    <row r="757" spans="2:3" ht="15.75" customHeight="1" x14ac:dyDescent="0.35">
      <c r="B757" s="6" t="s">
        <v>17</v>
      </c>
      <c r="C757" s="24">
        <f>AVERAGEIF(B2:B351,"West",K2:K351)</f>
        <v>12800.432747252746</v>
      </c>
    </row>
    <row r="758" spans="2:3" ht="15.75" customHeight="1" x14ac:dyDescent="0.35">
      <c r="B758" s="6" t="s">
        <v>22</v>
      </c>
      <c r="C758" s="24">
        <f>AVERAGEIF(B2:B351,"North",K2:K351)</f>
        <v>18854.885810810803</v>
      </c>
    </row>
    <row r="759" spans="2:3" ht="15.75" customHeight="1" x14ac:dyDescent="0.35">
      <c r="B759" s="6" t="s">
        <v>48</v>
      </c>
      <c r="C759" s="24">
        <f>AVERAGEIF(B2:B351,"South",K2:K351)</f>
        <v>20705.107714285721</v>
      </c>
    </row>
    <row r="760" spans="2:3" ht="15.75" customHeight="1" x14ac:dyDescent="0.35"/>
    <row r="761" spans="2:3" ht="15.75" customHeight="1" x14ac:dyDescent="0.35"/>
    <row r="762" spans="2:3" ht="15.75" customHeight="1" x14ac:dyDescent="0.35"/>
    <row r="763" spans="2:3" ht="15.75" customHeight="1" x14ac:dyDescent="0.35"/>
    <row r="764" spans="2:3" ht="15.75" customHeight="1" x14ac:dyDescent="0.35"/>
    <row r="765" spans="2:3" ht="15.75" customHeight="1" x14ac:dyDescent="0.35"/>
    <row r="766" spans="2:3" ht="15.75" customHeight="1" x14ac:dyDescent="0.35"/>
    <row r="767" spans="2:3" ht="15.75" customHeight="1" x14ac:dyDescent="0.35"/>
    <row r="768" spans="2:3" ht="15.75" customHeight="1" x14ac:dyDescent="0.35"/>
    <row r="769" spans="2:2" ht="15.75" customHeight="1" x14ac:dyDescent="0.35"/>
    <row r="770" spans="2:2" ht="15.75" customHeight="1" x14ac:dyDescent="0.35"/>
    <row r="771" spans="2:2" ht="15.75" customHeight="1" x14ac:dyDescent="0.35"/>
    <row r="772" spans="2:2" ht="15.75" customHeight="1" x14ac:dyDescent="0.35"/>
    <row r="773" spans="2:2" ht="15.75" customHeight="1" x14ac:dyDescent="0.35"/>
    <row r="774" spans="2:2" ht="15.75" customHeight="1" x14ac:dyDescent="0.35"/>
    <row r="775" spans="2:2" ht="15.75" customHeight="1" x14ac:dyDescent="0.35">
      <c r="B775" s="12"/>
    </row>
    <row r="776" spans="2:2" ht="15.75" customHeight="1" x14ac:dyDescent="0.35"/>
    <row r="777" spans="2:2" ht="15.75" customHeight="1" x14ac:dyDescent="0.35"/>
    <row r="778" spans="2:2" ht="15.75" customHeight="1" x14ac:dyDescent="0.35"/>
    <row r="779" spans="2:2" ht="15.75" customHeight="1" x14ac:dyDescent="0.35"/>
    <row r="780" spans="2:2" ht="15.75" customHeight="1" x14ac:dyDescent="0.35"/>
    <row r="781" spans="2:2" ht="15.75" customHeight="1" x14ac:dyDescent="0.35"/>
    <row r="782" spans="2:2" ht="15.75" customHeight="1" x14ac:dyDescent="0.35"/>
    <row r="783" spans="2:2" ht="15.75" customHeight="1" x14ac:dyDescent="0.35"/>
    <row r="784" spans="2:2" ht="15.75" customHeight="1" x14ac:dyDescent="0.35"/>
    <row r="785" spans="2:2" ht="15.75" customHeight="1" x14ac:dyDescent="0.35"/>
    <row r="786" spans="2:2" ht="15.75" customHeight="1" x14ac:dyDescent="0.35"/>
    <row r="787" spans="2:2" ht="15.75" customHeight="1" x14ac:dyDescent="0.35">
      <c r="B787" s="12"/>
    </row>
    <row r="788" spans="2:2" ht="15.75" customHeight="1" x14ac:dyDescent="0.35"/>
    <row r="789" spans="2:2" ht="15.75" customHeight="1" x14ac:dyDescent="0.35"/>
    <row r="790" spans="2:2" ht="15.75" customHeight="1" x14ac:dyDescent="0.35"/>
    <row r="791" spans="2:2" ht="15.75" customHeight="1" x14ac:dyDescent="0.35"/>
    <row r="792" spans="2:2" ht="15.75" customHeight="1" x14ac:dyDescent="0.35"/>
    <row r="793" spans="2:2" ht="15.75" customHeight="1" x14ac:dyDescent="0.35"/>
    <row r="794" spans="2:2" ht="15.75" customHeight="1" x14ac:dyDescent="0.35"/>
    <row r="795" spans="2:2" ht="15.75" customHeight="1" x14ac:dyDescent="0.35"/>
    <row r="796" spans="2:2" ht="15.75" customHeight="1" x14ac:dyDescent="0.35"/>
    <row r="797" spans="2:2" ht="15.75" customHeight="1" x14ac:dyDescent="0.35"/>
    <row r="798" spans="2:2" ht="15.75" customHeight="1" x14ac:dyDescent="0.35"/>
    <row r="799" spans="2:2" ht="15.75" customHeight="1" x14ac:dyDescent="0.35"/>
    <row r="800" spans="2:2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B370:E370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50F9-2325-4560-936B-ABF73B37414E}">
  <dimension ref="A1:G11"/>
  <sheetViews>
    <sheetView tabSelected="1" zoomScale="94" zoomScaleNormal="94" workbookViewId="0">
      <selection activeCell="K18" sqref="K18"/>
    </sheetView>
  </sheetViews>
  <sheetFormatPr defaultRowHeight="14.5" x14ac:dyDescent="0.35"/>
  <cols>
    <col min="1" max="1" width="56.08984375" bestFit="1" customWidth="1"/>
    <col min="2" max="2" width="15.26953125" bestFit="1" customWidth="1"/>
    <col min="3" max="3" width="14" customWidth="1"/>
    <col min="4" max="4" width="15.1796875" customWidth="1"/>
    <col min="5" max="6" width="13.81640625" customWidth="1"/>
    <col min="7" max="7" width="10.81640625" bestFit="1" customWidth="1"/>
  </cols>
  <sheetData>
    <row r="1" spans="1:7" ht="18.5" x14ac:dyDescent="0.45">
      <c r="A1" s="27" t="s">
        <v>414</v>
      </c>
    </row>
    <row r="3" spans="1:7" x14ac:dyDescent="0.35">
      <c r="A3" s="25" t="s">
        <v>413</v>
      </c>
      <c r="B3" s="25" t="s">
        <v>412</v>
      </c>
    </row>
    <row r="4" spans="1:7" x14ac:dyDescent="0.35">
      <c r="A4" s="25" t="s">
        <v>399</v>
      </c>
      <c r="B4" t="s">
        <v>11</v>
      </c>
      <c r="C4" t="s">
        <v>22</v>
      </c>
      <c r="D4" t="s">
        <v>48</v>
      </c>
      <c r="E4" t="s">
        <v>17</v>
      </c>
      <c r="F4" t="s">
        <v>400</v>
      </c>
      <c r="G4" t="s">
        <v>401</v>
      </c>
    </row>
    <row r="5" spans="1:7" x14ac:dyDescent="0.35">
      <c r="A5" s="26" t="s">
        <v>13</v>
      </c>
      <c r="B5" s="18">
        <v>-40722.099999999991</v>
      </c>
      <c r="C5" s="18">
        <v>-33677.189999999951</v>
      </c>
      <c r="D5" s="18">
        <v>498608.48</v>
      </c>
      <c r="E5" s="18">
        <v>386610.85</v>
      </c>
      <c r="F5" s="18">
        <v>-2443.4400000000032</v>
      </c>
      <c r="G5">
        <v>808376.6</v>
      </c>
    </row>
    <row r="6" spans="1:7" x14ac:dyDescent="0.35">
      <c r="A6" s="26" t="s">
        <v>23</v>
      </c>
      <c r="B6" s="18">
        <v>381180.03999999992</v>
      </c>
      <c r="C6" s="18">
        <v>267611.15999999997</v>
      </c>
      <c r="D6" s="18">
        <v>215798.94</v>
      </c>
      <c r="E6" s="18">
        <v>215122.97000000003</v>
      </c>
      <c r="F6" s="18">
        <v>-10966.900000000009</v>
      </c>
      <c r="G6">
        <v>1068746.21</v>
      </c>
    </row>
    <row r="7" spans="1:7" x14ac:dyDescent="0.35">
      <c r="A7" s="26" t="s">
        <v>42</v>
      </c>
      <c r="B7" s="18">
        <v>274034.28000000003</v>
      </c>
      <c r="C7" s="18">
        <v>391810.31</v>
      </c>
      <c r="D7" s="18">
        <v>332221.24</v>
      </c>
      <c r="E7" s="18">
        <v>-8919.4599999999828</v>
      </c>
      <c r="F7" s="18">
        <v>30551.479999999989</v>
      </c>
      <c r="G7">
        <v>1019697.8500000001</v>
      </c>
    </row>
    <row r="8" spans="1:7" x14ac:dyDescent="0.35">
      <c r="A8" s="26" t="s">
        <v>19</v>
      </c>
      <c r="B8" s="18">
        <v>203554.58999999997</v>
      </c>
      <c r="C8" s="18">
        <v>509740.58999999997</v>
      </c>
      <c r="D8" s="18">
        <v>151695.20000000001</v>
      </c>
      <c r="E8" s="18">
        <v>286925.63</v>
      </c>
      <c r="F8" s="18">
        <v>-55404.959999999992</v>
      </c>
      <c r="G8">
        <v>1096511.0499999998</v>
      </c>
    </row>
    <row r="9" spans="1:7" x14ac:dyDescent="0.35">
      <c r="A9" s="26" t="s">
        <v>27</v>
      </c>
      <c r="B9" s="18">
        <v>298534.40000000002</v>
      </c>
      <c r="C9" s="18">
        <v>2642.2199999999903</v>
      </c>
      <c r="D9" s="18">
        <v>292109.68000000005</v>
      </c>
      <c r="E9" s="18">
        <v>235813.85999999996</v>
      </c>
      <c r="F9" s="18">
        <v>-6413.8799999999992</v>
      </c>
      <c r="G9">
        <v>822686.28</v>
      </c>
    </row>
    <row r="10" spans="1:7" x14ac:dyDescent="0.35">
      <c r="A10" s="26" t="s">
        <v>400</v>
      </c>
      <c r="B10" s="18">
        <v>101154.51000000001</v>
      </c>
      <c r="C10" s="18">
        <v>257134.46000000002</v>
      </c>
      <c r="D10" s="18">
        <v>-41076</v>
      </c>
      <c r="E10" s="18">
        <v>49285.53</v>
      </c>
      <c r="F10" s="18"/>
      <c r="G10">
        <v>366498.5</v>
      </c>
    </row>
    <row r="11" spans="1:7" x14ac:dyDescent="0.35">
      <c r="A11" s="26" t="s">
        <v>401</v>
      </c>
      <c r="B11" s="18">
        <v>1217735.72</v>
      </c>
      <c r="C11" s="18">
        <v>1395261.55</v>
      </c>
      <c r="D11" s="18">
        <v>1449357.54</v>
      </c>
      <c r="E11" s="18">
        <v>1164839.3800000001</v>
      </c>
      <c r="F11" s="18">
        <v>-44677.700000000012</v>
      </c>
      <c r="G11">
        <v>5182516.49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2CB9-608A-45F4-BDD7-6D47AE2ED091}">
  <dimension ref="A1:K38"/>
  <sheetViews>
    <sheetView zoomScale="43" zoomScaleNormal="43" workbookViewId="0">
      <selection activeCell="H27" sqref="H27"/>
    </sheetView>
  </sheetViews>
  <sheetFormatPr defaultRowHeight="14.5" x14ac:dyDescent="0.35"/>
  <cols>
    <col min="1" max="1" width="20" customWidth="1"/>
    <col min="2" max="2" width="21.81640625" customWidth="1"/>
    <col min="3" max="3" width="20" customWidth="1"/>
    <col min="4" max="5" width="21.81640625" customWidth="1"/>
    <col min="6" max="6" width="20" customWidth="1"/>
    <col min="7" max="7" width="18.1796875" customWidth="1"/>
    <col min="9" max="9" width="16.36328125" customWidth="1"/>
    <col min="10" max="10" width="20" customWidth="1"/>
    <col min="11" max="11" width="18.1796875" customWidth="1"/>
  </cols>
  <sheetData>
    <row r="1" spans="1:11" ht="40" customHeight="1" x14ac:dyDescent="0.7">
      <c r="A1" s="50" t="s">
        <v>416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5.5" x14ac:dyDescent="0.35">
      <c r="A2" s="52" t="s">
        <v>417</v>
      </c>
      <c r="B2" s="53"/>
      <c r="C2" s="53"/>
      <c r="D2" s="53"/>
      <c r="E2" s="53"/>
      <c r="F2" s="53"/>
      <c r="G2" s="53"/>
      <c r="H2" s="53"/>
      <c r="I2" s="53"/>
      <c r="J2" s="53"/>
      <c r="K2" s="53"/>
    </row>
    <row r="4" spans="1:11" x14ac:dyDescent="0.35">
      <c r="A4" s="29" t="s">
        <v>418</v>
      </c>
      <c r="B4" s="29" t="s">
        <v>398</v>
      </c>
      <c r="C4" s="29" t="s">
        <v>419</v>
      </c>
      <c r="D4" s="29" t="s">
        <v>420</v>
      </c>
      <c r="E4" s="29" t="s">
        <v>421</v>
      </c>
      <c r="G4" s="43" t="s">
        <v>415</v>
      </c>
      <c r="H4" s="44"/>
      <c r="I4" s="44"/>
      <c r="J4" s="44"/>
    </row>
    <row r="5" spans="1:11" ht="21" x14ac:dyDescent="0.5">
      <c r="A5" s="30">
        <f>COUNTA(Retail_Dataset!A2:A351)</f>
        <v>350</v>
      </c>
      <c r="B5" s="31" cm="1">
        <f t="array" ref="B5">SUMPRODUCT((Retail_Dataset!H2:H351&lt;&gt;"")*(Retail_Dataset!I2:I351&lt;&gt;"")*Retail_Dataset!H2:H351*Retail_Dataset!I2:I351)</f>
        <v>21381624.959999993</v>
      </c>
      <c r="C5" s="31">
        <f>SUM(Retail_Dataset!K2:K351)</f>
        <v>5182516.4899999993</v>
      </c>
      <c r="D5" s="31">
        <f>AVERAGE(Retail_Dataset!K2:K351)</f>
        <v>15704.595424242421</v>
      </c>
      <c r="E5" s="30">
        <f>SUM(Retail_Dataset!H2:H351)</f>
        <v>87007</v>
      </c>
    </row>
    <row r="8" spans="1:11" ht="18.5" x14ac:dyDescent="0.45">
      <c r="A8" s="28" t="s">
        <v>422</v>
      </c>
      <c r="E8" s="28" t="s">
        <v>424</v>
      </c>
      <c r="I8" s="28" t="s">
        <v>425</v>
      </c>
    </row>
    <row r="9" spans="1:11" x14ac:dyDescent="0.35">
      <c r="A9" s="32" t="s">
        <v>1</v>
      </c>
      <c r="B9" s="32" t="s">
        <v>419</v>
      </c>
      <c r="C9" s="32" t="s">
        <v>423</v>
      </c>
      <c r="E9" s="32" t="s">
        <v>3</v>
      </c>
      <c r="F9" s="32" t="s">
        <v>419</v>
      </c>
      <c r="G9" s="32" t="s">
        <v>423</v>
      </c>
      <c r="I9" s="32" t="s">
        <v>426</v>
      </c>
      <c r="J9" s="32" t="s">
        <v>419</v>
      </c>
      <c r="K9" s="32" t="s">
        <v>423</v>
      </c>
    </row>
    <row r="10" spans="1:11" x14ac:dyDescent="0.35">
      <c r="A10" s="33" t="s">
        <v>11</v>
      </c>
      <c r="B10" s="34">
        <f>SUMIF(Retail_Dataset!B:B,A10,Retail_Dataset!K:K)</f>
        <v>1217735.72</v>
      </c>
      <c r="C10" s="33">
        <f>COUNTIF(Retail_Dataset!B:B,A10)</f>
        <v>92</v>
      </c>
      <c r="E10" s="35" t="s">
        <v>13</v>
      </c>
      <c r="F10" s="36">
        <f>SUMIF(Retail_Dataset!D:D,E10,Retail_Dataset!K:K)</f>
        <v>808376.60000000009</v>
      </c>
      <c r="G10" s="35">
        <f>COUNTIF(Retail_Dataset!D:D,E10)</f>
        <v>73</v>
      </c>
      <c r="I10" s="37" t="s">
        <v>14</v>
      </c>
      <c r="J10" s="38">
        <f>SUMIF(Retail_Dataset!E:E,I10,Retail_Dataset!K:K)</f>
        <v>2269419.9100000011</v>
      </c>
      <c r="K10" s="37">
        <f>COUNTIF(Retail_Dataset!E:E,I10)</f>
        <v>188</v>
      </c>
    </row>
    <row r="11" spans="1:11" x14ac:dyDescent="0.35">
      <c r="A11" s="33" t="s">
        <v>17</v>
      </c>
      <c r="B11" s="34">
        <f>SUMIF(Retail_Dataset!B:B,A11,Retail_Dataset!K:K)</f>
        <v>1164839.3799999999</v>
      </c>
      <c r="C11" s="33">
        <f>COUNTIF(Retail_Dataset!B:B,A11)</f>
        <v>97</v>
      </c>
      <c r="E11" s="35" t="s">
        <v>23</v>
      </c>
      <c r="F11" s="36">
        <f>SUMIF(Retail_Dataset!D:D,E11,Retail_Dataset!K:K)</f>
        <v>1068746.21</v>
      </c>
      <c r="G11" s="35">
        <f>COUNTIF(Retail_Dataset!D:D,E11)</f>
        <v>67</v>
      </c>
      <c r="I11" s="37" t="s">
        <v>24</v>
      </c>
      <c r="J11" s="38">
        <f>SUMIF(Retail_Dataset!E:E,I11,Retail_Dataset!K:K)</f>
        <v>2913096.58</v>
      </c>
      <c r="K11" s="37">
        <f>COUNTIF(Retail_Dataset!E:E,I11)</f>
        <v>162</v>
      </c>
    </row>
    <row r="12" spans="1:11" x14ac:dyDescent="0.35">
      <c r="A12" s="33" t="s">
        <v>22</v>
      </c>
      <c r="B12" s="34">
        <f>SUMIF(Retail_Dataset!B:B,A12,Retail_Dataset!K:K)</f>
        <v>1395261.5499999993</v>
      </c>
      <c r="C12" s="33">
        <f>COUNTIF(Retail_Dataset!B:B,A12)</f>
        <v>79</v>
      </c>
      <c r="E12" s="35" t="s">
        <v>42</v>
      </c>
      <c r="F12" s="36">
        <f>SUMIF(Retail_Dataset!D:D,E12,Retail_Dataset!K:K)</f>
        <v>1019697.8500000004</v>
      </c>
      <c r="G12" s="35">
        <f>COUNTIF(Retail_Dataset!D:D,E12)</f>
        <v>70</v>
      </c>
    </row>
    <row r="13" spans="1:11" x14ac:dyDescent="0.35">
      <c r="A13" s="33" t="s">
        <v>48</v>
      </c>
      <c r="B13" s="34">
        <f>SUMIF(Retail_Dataset!B:B,A13,Retail_Dataset!K:K)</f>
        <v>1449357.5400000005</v>
      </c>
      <c r="C13" s="33">
        <f>COUNTIF(Retail_Dataset!B:B,A13)</f>
        <v>76</v>
      </c>
      <c r="E13" s="35" t="s">
        <v>19</v>
      </c>
      <c r="F13" s="36">
        <f>SUMIF(Retail_Dataset!D:D,E13,Retail_Dataset!K:K)</f>
        <v>1096511.05</v>
      </c>
      <c r="G13" s="35">
        <f>COUNTIF(Retail_Dataset!D:D,E13)</f>
        <v>61</v>
      </c>
    </row>
    <row r="14" spans="1:11" x14ac:dyDescent="0.35">
      <c r="E14" s="35" t="s">
        <v>27</v>
      </c>
      <c r="F14" s="36">
        <f>SUMIF(Retail_Dataset!D:D,E14,Retail_Dataset!K:K)</f>
        <v>822686.2799999998</v>
      </c>
      <c r="G14" s="35">
        <f>COUNTIF(Retail_Dataset!D:D,E14)</f>
        <v>69</v>
      </c>
    </row>
    <row r="32" spans="1:9" ht="18.5" x14ac:dyDescent="0.45">
      <c r="A32" s="28" t="s">
        <v>427</v>
      </c>
      <c r="E32" s="28" t="s">
        <v>428</v>
      </c>
      <c r="I32" s="28" t="s">
        <v>430</v>
      </c>
    </row>
    <row r="33" spans="1:10" x14ac:dyDescent="0.35">
      <c r="A33" s="32" t="s">
        <v>2</v>
      </c>
      <c r="B33" s="32" t="s">
        <v>419</v>
      </c>
      <c r="C33" s="32" t="s">
        <v>423</v>
      </c>
      <c r="E33" s="32" t="s">
        <v>429</v>
      </c>
      <c r="F33" s="32" t="s">
        <v>419</v>
      </c>
      <c r="G33" s="32" t="s">
        <v>423</v>
      </c>
      <c r="I33" s="32" t="s">
        <v>431</v>
      </c>
      <c r="J33" s="32" t="s">
        <v>402</v>
      </c>
    </row>
    <row r="34" spans="1:10" x14ac:dyDescent="0.35">
      <c r="A34" s="8" t="s">
        <v>18</v>
      </c>
      <c r="B34" s="39">
        <f>SUMIF(Retail_Dataset!C:C,A34,Retail_Dataset!K:K)</f>
        <v>1728257.1400000011</v>
      </c>
      <c r="C34" s="8">
        <f>COUNTIF(Retail_Dataset!C:C,A34)</f>
        <v>76</v>
      </c>
      <c r="E34" s="40" t="s">
        <v>15</v>
      </c>
      <c r="F34" s="41">
        <f>SUMIF(Retail_Dataset!F:F,E34,Retail_Dataset!K:K)</f>
        <v>1030928.1199999995</v>
      </c>
      <c r="G34" s="40">
        <f>COUNTIF(Retail_Dataset!F:F,E34)</f>
        <v>86</v>
      </c>
      <c r="I34" s="42" t="s">
        <v>432</v>
      </c>
      <c r="J34" s="42">
        <f>COUNTBLANK(Retail_Dataset!B2:B351)</f>
        <v>10</v>
      </c>
    </row>
    <row r="35" spans="1:10" x14ac:dyDescent="0.35">
      <c r="A35" s="8" t="s">
        <v>12</v>
      </c>
      <c r="B35" s="39">
        <f>SUMIF(Retail_Dataset!C:C,A35,Retail_Dataset!K:K)</f>
        <v>623555.76000000013</v>
      </c>
      <c r="C35" s="8">
        <f>COUNTIF(Retail_Dataset!C:C,A35)</f>
        <v>73</v>
      </c>
      <c r="E35" s="40" t="s">
        <v>28</v>
      </c>
      <c r="F35" s="41">
        <f>SUMIF(Retail_Dataset!F:F,E35,Retail_Dataset!K:K)</f>
        <v>1637928.1500000001</v>
      </c>
      <c r="G35" s="40">
        <f>COUNTIF(Retail_Dataset!F:F,E35)</f>
        <v>86</v>
      </c>
      <c r="I35" s="42" t="s">
        <v>433</v>
      </c>
      <c r="J35" s="42">
        <f>COUNTBLANK(Retail_Dataset!D2:D351)</f>
        <v>10</v>
      </c>
    </row>
    <row r="36" spans="1:10" x14ac:dyDescent="0.35">
      <c r="A36" s="8" t="s">
        <v>26</v>
      </c>
      <c r="B36" s="39">
        <f>SUMIF(Retail_Dataset!C:C,A36,Retail_Dataset!K:K)</f>
        <v>870331.42999999982</v>
      </c>
      <c r="C36" s="8">
        <f>COUNTIF(Retail_Dataset!C:C,A36)</f>
        <v>69</v>
      </c>
      <c r="E36" s="40" t="s">
        <v>20</v>
      </c>
      <c r="F36" s="41">
        <f>SUMIF(Retail_Dataset!F:F,E36,Retail_Dataset!K:K)</f>
        <v>1240748.0799999998</v>
      </c>
      <c r="G36" s="40">
        <f>COUNTIF(Retail_Dataset!F:F,E36)</f>
        <v>81</v>
      </c>
      <c r="I36" s="42" t="s">
        <v>434</v>
      </c>
      <c r="J36" s="42">
        <f>COUNTBLANK(Retail_Dataset!H2:H351)</f>
        <v>10</v>
      </c>
    </row>
    <row r="37" spans="1:10" x14ac:dyDescent="0.35">
      <c r="A37" s="8" t="s">
        <v>31</v>
      </c>
      <c r="B37" s="39">
        <f>SUMIF(Retail_Dataset!C:C,A37,Retail_Dataset!K:K)</f>
        <v>1026814.3899999999</v>
      </c>
      <c r="C37" s="8">
        <f>COUNTIF(Retail_Dataset!C:C,A37)</f>
        <v>59</v>
      </c>
      <c r="I37" s="42" t="s">
        <v>435</v>
      </c>
      <c r="J37" s="42">
        <f>COUNTBLANK(Retail_Dataset!I2:I351)</f>
        <v>10</v>
      </c>
    </row>
    <row r="38" spans="1:10" x14ac:dyDescent="0.35">
      <c r="A38" s="8" t="s">
        <v>50</v>
      </c>
      <c r="B38" s="39">
        <f>SUMIF(Retail_Dataset!C:C,A38,Retail_Dataset!K:K)</f>
        <v>933557.77</v>
      </c>
      <c r="C38" s="8">
        <f>COUNTIF(Retail_Dataset!C:C,A38)</f>
        <v>73</v>
      </c>
    </row>
  </sheetData>
  <mergeCells count="2">
    <mergeCell ref="A1:K1"/>
    <mergeCell ref="A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DB0A-F6E8-4DA9-8EAE-D2A87F0BC60F}">
  <dimension ref="A1:J90"/>
  <sheetViews>
    <sheetView zoomScale="68" zoomScaleNormal="68" workbookViewId="0">
      <selection activeCell="F4" sqref="F4:G4"/>
    </sheetView>
  </sheetViews>
  <sheetFormatPr defaultRowHeight="14.5" x14ac:dyDescent="0.35"/>
  <cols>
    <col min="1" max="1" width="32.7265625" customWidth="1"/>
    <col min="2" max="2" width="23.6328125" customWidth="1"/>
    <col min="3" max="3" width="21.81640625" customWidth="1"/>
    <col min="4" max="5" width="23.6328125" customWidth="1"/>
    <col min="6" max="6" width="20" customWidth="1"/>
  </cols>
  <sheetData>
    <row r="1" spans="1:10" ht="35" customHeight="1" x14ac:dyDescent="0.6">
      <c r="A1" s="54" t="s">
        <v>436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15.5" x14ac:dyDescent="0.35">
      <c r="A2" s="56" t="s">
        <v>437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x14ac:dyDescent="0.35">
      <c r="A3" s="57" t="s">
        <v>438</v>
      </c>
      <c r="B3" s="55"/>
      <c r="C3" s="55"/>
      <c r="D3" s="55"/>
      <c r="E3" s="55"/>
      <c r="F3" s="55"/>
      <c r="G3" s="55"/>
      <c r="H3" s="55"/>
      <c r="I3" s="55"/>
      <c r="J3" s="55"/>
    </row>
    <row r="4" spans="1:10" x14ac:dyDescent="0.35">
      <c r="F4" s="12"/>
    </row>
    <row r="5" spans="1:10" ht="18.5" x14ac:dyDescent="0.45">
      <c r="A5" s="28" t="s">
        <v>439</v>
      </c>
    </row>
    <row r="7" spans="1:10" x14ac:dyDescent="0.35">
      <c r="A7" s="45" t="s">
        <v>440</v>
      </c>
      <c r="B7" s="45" t="s">
        <v>441</v>
      </c>
      <c r="C7" s="45" t="s">
        <v>442</v>
      </c>
    </row>
    <row r="8" spans="1:10" x14ac:dyDescent="0.35">
      <c r="A8" t="s">
        <v>418</v>
      </c>
      <c r="B8">
        <f>COUNTA(Retail_Dataset!A2:A351)</f>
        <v>350</v>
      </c>
      <c r="C8" t="s">
        <v>443</v>
      </c>
    </row>
    <row r="9" spans="1:10" x14ac:dyDescent="0.35">
      <c r="A9" t="s">
        <v>398</v>
      </c>
      <c r="B9" s="18" cm="1">
        <f t="array" ref="B9">SUMPRODUCT(--(Retail_Dataset!H2:H351&lt;&gt;""),--(Retail_Dataset!I2:I351&lt;&gt;""),Retail_Dataset!H2:H351,Retail_Dataset!I2:I351)</f>
        <v>21381624.959999993</v>
      </c>
      <c r="C9" t="s">
        <v>444</v>
      </c>
    </row>
    <row r="10" spans="1:10" x14ac:dyDescent="0.35">
      <c r="A10" t="s">
        <v>445</v>
      </c>
      <c r="B10" s="18" cm="1">
        <f t="array" ref="B10">SUMPRODUCT(--(Retail_Dataset!H2:H351&lt;&gt;""),Retail_Dataset!H2:H351,Retail_Dataset!J2:J351)</f>
        <v>16761813.379999993</v>
      </c>
      <c r="C10" t="s">
        <v>446</v>
      </c>
    </row>
    <row r="11" spans="1:10" x14ac:dyDescent="0.35">
      <c r="A11" t="s">
        <v>419</v>
      </c>
      <c r="B11" s="18">
        <f>SUM(Retail_Dataset!K2:K351)</f>
        <v>5182516.4899999993</v>
      </c>
      <c r="C11" t="s">
        <v>447</v>
      </c>
    </row>
    <row r="12" spans="1:10" x14ac:dyDescent="0.35">
      <c r="A12" t="s">
        <v>448</v>
      </c>
      <c r="B12" s="18">
        <f>AVERAGE(Retail_Dataset!K2:K351)</f>
        <v>15704.595424242421</v>
      </c>
      <c r="C12" t="s">
        <v>449</v>
      </c>
    </row>
    <row r="13" spans="1:10" x14ac:dyDescent="0.35">
      <c r="A13" t="s">
        <v>421</v>
      </c>
      <c r="B13" s="46">
        <f>SUM(Retail_Dataset!H2:H351)</f>
        <v>87007</v>
      </c>
      <c r="C13" t="s">
        <v>450</v>
      </c>
    </row>
    <row r="14" spans="1:10" x14ac:dyDescent="0.35">
      <c r="A14" t="s">
        <v>451</v>
      </c>
      <c r="B14" s="4">
        <f>B11/B9</f>
        <v>0.24238178808651226</v>
      </c>
      <c r="C14" t="s">
        <v>452</v>
      </c>
    </row>
    <row r="17" spans="1:6" ht="18.5" x14ac:dyDescent="0.45">
      <c r="A17" s="28" t="s">
        <v>453</v>
      </c>
    </row>
    <row r="19" spans="1:6" x14ac:dyDescent="0.35">
      <c r="A19" s="45" t="s">
        <v>1</v>
      </c>
      <c r="B19" s="45" t="s">
        <v>419</v>
      </c>
      <c r="C19" s="45" t="s">
        <v>423</v>
      </c>
      <c r="D19" s="45" t="s">
        <v>420</v>
      </c>
      <c r="E19" s="45" t="s">
        <v>454</v>
      </c>
      <c r="F19" s="45" t="s">
        <v>455</v>
      </c>
    </row>
    <row r="20" spans="1:6" x14ac:dyDescent="0.35">
      <c r="A20" t="s">
        <v>11</v>
      </c>
      <c r="B20" s="18">
        <f>SUMIF(Retail_Dataset!B:B,"East",Retail_Dataset!K:K)</f>
        <v>1217735.72</v>
      </c>
      <c r="C20">
        <f>COUNTIF(Retail_Dataset!B:B,"East")</f>
        <v>92</v>
      </c>
      <c r="D20" s="18">
        <f>B20/C20</f>
        <v>13236.257826086956</v>
      </c>
      <c r="E20" s="4">
        <f>B20/$B$11</f>
        <v>0.23496996533435055</v>
      </c>
      <c r="F20" t="str">
        <f>IF(B20&gt;AVERAGE($B$20:$B$23),"✅ Above Avg","⚠️ Below Avg")</f>
        <v>⚠️ Below Avg</v>
      </c>
    </row>
    <row r="21" spans="1:6" x14ac:dyDescent="0.35">
      <c r="A21" t="s">
        <v>17</v>
      </c>
      <c r="B21" s="18">
        <f>SUMIF(Retail_Dataset!B:B,"West",Retail_Dataset!K:K)</f>
        <v>1164839.3799999999</v>
      </c>
      <c r="C21">
        <f>COUNTIF(Retail_Dataset!B:B,"West")</f>
        <v>97</v>
      </c>
      <c r="D21" s="18">
        <f>B21/C21</f>
        <v>12008.653402061855</v>
      </c>
      <c r="E21" s="4">
        <f>B21/$B$11</f>
        <v>0.22476327518641431</v>
      </c>
      <c r="F21" t="str">
        <f>IF(B21&gt;AVERAGE($B$20:$B$23),"✅ Above Avg","⚠️ Below Avg")</f>
        <v>⚠️ Below Avg</v>
      </c>
    </row>
    <row r="22" spans="1:6" x14ac:dyDescent="0.35">
      <c r="A22" t="s">
        <v>22</v>
      </c>
      <c r="B22" s="18">
        <f>SUMIF(Retail_Dataset!B:B,"North",Retail_Dataset!K:K)</f>
        <v>1395261.5499999993</v>
      </c>
      <c r="C22">
        <f>COUNTIF(Retail_Dataset!B:B,"North")</f>
        <v>79</v>
      </c>
      <c r="D22" s="18">
        <f>B22/C22</f>
        <v>17661.538607594928</v>
      </c>
      <c r="E22" s="4">
        <f>B22/$B$11</f>
        <v>0.26922471982332263</v>
      </c>
      <c r="F22" t="str">
        <f>IF(B22&gt;AVERAGE($B$20:$B$23),"✅ Above Avg","⚠️ Below Avg")</f>
        <v>✅ Above Avg</v>
      </c>
    </row>
    <row r="23" spans="1:6" x14ac:dyDescent="0.35">
      <c r="A23" t="s">
        <v>48</v>
      </c>
      <c r="B23" s="18">
        <f>SUMIF(Retail_Dataset!B:B,"South",Retail_Dataset!K:K)</f>
        <v>1449357.5400000005</v>
      </c>
      <c r="C23">
        <f>COUNTIF(Retail_Dataset!B:B,"South")</f>
        <v>76</v>
      </c>
      <c r="D23" s="18">
        <f>B23/C23</f>
        <v>19070.493947368428</v>
      </c>
      <c r="E23" s="4">
        <f>B23/$B$11</f>
        <v>0.27966289018021062</v>
      </c>
      <c r="F23" t="str">
        <f>IF(B23&gt;AVERAGE($B$20:$B$23),"✅ Above Avg","⚠️ Below Avg")</f>
        <v>✅ Above Avg</v>
      </c>
    </row>
    <row r="26" spans="1:6" ht="18.5" x14ac:dyDescent="0.45">
      <c r="A26" s="28" t="s">
        <v>456</v>
      </c>
    </row>
    <row r="28" spans="1:6" x14ac:dyDescent="0.35">
      <c r="A28" s="45" t="s">
        <v>3</v>
      </c>
      <c r="B28" s="45" t="s">
        <v>419</v>
      </c>
      <c r="C28" s="45" t="s">
        <v>423</v>
      </c>
      <c r="D28" s="45" t="s">
        <v>420</v>
      </c>
      <c r="E28" s="45" t="s">
        <v>454</v>
      </c>
      <c r="F28" s="45" t="s">
        <v>455</v>
      </c>
    </row>
    <row r="29" spans="1:6" x14ac:dyDescent="0.35">
      <c r="A29" t="s">
        <v>13</v>
      </c>
      <c r="B29" s="18">
        <f>SUMIF(Retail_Dataset!D:D,"Beverages",Retail_Dataset!K:K)</f>
        <v>808376.60000000009</v>
      </c>
      <c r="C29">
        <f>COUNTIF(Retail_Dataset!D:D,"Beverages")</f>
        <v>73</v>
      </c>
      <c r="D29" s="18">
        <f>B29/C29</f>
        <v>11073.652054794522</v>
      </c>
      <c r="E29" s="4">
        <f>B29/$B$11</f>
        <v>0.15598148149838309</v>
      </c>
      <c r="F29" t="str">
        <f>IF(B29&gt;AVERAGE($B$29:$B$33),"✅ Above Avg","⚠️ Below Avg")</f>
        <v>⚠️ Below Avg</v>
      </c>
    </row>
    <row r="30" spans="1:6" x14ac:dyDescent="0.35">
      <c r="A30" t="s">
        <v>23</v>
      </c>
      <c r="B30" s="18">
        <f>SUMIF(Retail_Dataset!D:D,"Clothing",Retail_Dataset!K:K)</f>
        <v>1068746.21</v>
      </c>
      <c r="C30">
        <f>COUNTIF(Retail_Dataset!D:D,"Clothing")</f>
        <v>67</v>
      </c>
      <c r="D30" s="18">
        <f>B30/C30</f>
        <v>15951.435970149254</v>
      </c>
      <c r="E30" s="4">
        <f>B30/$B$11</f>
        <v>0.20622147793687004</v>
      </c>
      <c r="F30" t="str">
        <f>IF(B30&gt;AVERAGE($B$29:$B$33),"✅ Above Avg","⚠️ Below Avg")</f>
        <v>✅ Above Avg</v>
      </c>
    </row>
    <row r="31" spans="1:6" x14ac:dyDescent="0.35">
      <c r="A31" t="s">
        <v>42</v>
      </c>
      <c r="B31" s="18">
        <f>SUMIF(Retail_Dataset!D:D,"Electronics",Retail_Dataset!K:K)</f>
        <v>1019697.8500000004</v>
      </c>
      <c r="C31">
        <f>COUNTIF(Retail_Dataset!D:D,"Electronics")</f>
        <v>70</v>
      </c>
      <c r="D31" s="18">
        <f>B31/C31</f>
        <v>14567.11214285715</v>
      </c>
      <c r="E31" s="4">
        <f>B31/$B$11</f>
        <v>0.19675728036130197</v>
      </c>
      <c r="F31" t="str">
        <f>IF(B31&gt;AVERAGE($B$29:$B$33),"✅ Above Avg","⚠️ Below Avg")</f>
        <v>✅ Above Avg</v>
      </c>
    </row>
    <row r="32" spans="1:6" x14ac:dyDescent="0.35">
      <c r="A32" t="s">
        <v>19</v>
      </c>
      <c r="B32" s="18">
        <f>SUMIF(Retail_Dataset!D:D,"Food",Retail_Dataset!K:K)</f>
        <v>1096511.05</v>
      </c>
      <c r="C32">
        <f>COUNTIF(Retail_Dataset!D:D,"Food")</f>
        <v>61</v>
      </c>
      <c r="D32" s="18">
        <f>B32/C32</f>
        <v>17975.590983606558</v>
      </c>
      <c r="E32" s="4">
        <f>B32/$B$11</f>
        <v>0.21157888298393049</v>
      </c>
      <c r="F32" t="str">
        <f>IF(B32&gt;AVERAGE($B$29:$B$33),"✅ Above Avg","⚠️ Below Avg")</f>
        <v>✅ Above Avg</v>
      </c>
    </row>
    <row r="33" spans="1:6" x14ac:dyDescent="0.35">
      <c r="A33" t="s">
        <v>27</v>
      </c>
      <c r="B33" s="18">
        <f>SUMIF(Retail_Dataset!D:D,"Furniture",Retail_Dataset!K:K)</f>
        <v>822686.2799999998</v>
      </c>
      <c r="C33">
        <f>COUNTIF(Retail_Dataset!D:D,"Furniture")</f>
        <v>69</v>
      </c>
      <c r="D33" s="18">
        <f>B33/C33</f>
        <v>11922.989565217389</v>
      </c>
      <c r="E33" s="4">
        <f>B33/$B$11</f>
        <v>0.15874262659606123</v>
      </c>
      <c r="F33" t="str">
        <f>IF(B33&gt;AVERAGE($B$29:$B$33),"✅ Above Avg","⚠️ Below Avg")</f>
        <v>⚠️ Below Avg</v>
      </c>
    </row>
    <row r="36" spans="1:6" ht="18.5" x14ac:dyDescent="0.45">
      <c r="A36" s="28" t="s">
        <v>457</v>
      </c>
    </row>
    <row r="38" spans="1:6" x14ac:dyDescent="0.35">
      <c r="A38" s="45" t="s">
        <v>4</v>
      </c>
      <c r="B38" s="45" t="s">
        <v>419</v>
      </c>
      <c r="C38" s="45" t="s">
        <v>423</v>
      </c>
      <c r="D38" s="45" t="s">
        <v>420</v>
      </c>
      <c r="E38" s="45" t="s">
        <v>458</v>
      </c>
    </row>
    <row r="39" spans="1:6" x14ac:dyDescent="0.35">
      <c r="A39" t="s">
        <v>14</v>
      </c>
      <c r="B39" s="18">
        <f>SUMIF(Retail_Dataset!E:E,"Online",Retail_Dataset!K:K)</f>
        <v>2269419.9100000011</v>
      </c>
      <c r="C39">
        <f>COUNTIF(Retail_Dataset!E:E,"Online")</f>
        <v>188</v>
      </c>
      <c r="D39" s="18">
        <f>B39/C39</f>
        <v>12071.382500000005</v>
      </c>
      <c r="E39" s="4">
        <f>B39/$B$11</f>
        <v>0.43789921640944002</v>
      </c>
    </row>
    <row r="40" spans="1:6" x14ac:dyDescent="0.35">
      <c r="A40" t="s">
        <v>24</v>
      </c>
      <c r="B40" s="18">
        <f>SUMIF(Retail_Dataset!E:E,"Offline",Retail_Dataset!K:K)</f>
        <v>2913096.58</v>
      </c>
      <c r="C40">
        <f>COUNTIF(Retail_Dataset!E:E,"Offline")</f>
        <v>162</v>
      </c>
      <c r="D40" s="18">
        <f>B40/C40</f>
        <v>17982.077654320987</v>
      </c>
      <c r="E40" s="4">
        <f>B40/$B$11</f>
        <v>0.56210078359056037</v>
      </c>
    </row>
    <row r="43" spans="1:6" ht="18.5" x14ac:dyDescent="0.45">
      <c r="A43" s="28" t="s">
        <v>459</v>
      </c>
    </row>
    <row r="45" spans="1:6" x14ac:dyDescent="0.35">
      <c r="A45" s="45" t="s">
        <v>2</v>
      </c>
      <c r="B45" s="45" t="s">
        <v>419</v>
      </c>
      <c r="C45" s="45" t="s">
        <v>423</v>
      </c>
      <c r="D45" s="45" t="s">
        <v>454</v>
      </c>
    </row>
    <row r="46" spans="1:6" x14ac:dyDescent="0.35">
      <c r="A46" t="s">
        <v>18</v>
      </c>
      <c r="B46" s="18">
        <f>SUMIF(Retail_Dataset!C:C,"India",Retail_Dataset!K:K)</f>
        <v>1728257.1400000011</v>
      </c>
      <c r="C46">
        <f>COUNTIF(Retail_Dataset!C:C,"India")</f>
        <v>76</v>
      </c>
      <c r="D46" s="4">
        <f>B46/$B$11</f>
        <v>0.33347836776492368</v>
      </c>
    </row>
    <row r="47" spans="1:6" x14ac:dyDescent="0.35">
      <c r="A47" t="s">
        <v>31</v>
      </c>
      <c r="B47" s="18">
        <f>SUMIF(Retail_Dataset!C:C,"UK",Retail_Dataset!K:K)</f>
        <v>1026814.3899999999</v>
      </c>
      <c r="C47">
        <f>COUNTIF(Retail_Dataset!C:C,"UK")</f>
        <v>59</v>
      </c>
      <c r="D47" s="4">
        <f>B47/$B$11</f>
        <v>0.19813046267798756</v>
      </c>
    </row>
    <row r="48" spans="1:6" x14ac:dyDescent="0.35">
      <c r="A48" t="s">
        <v>50</v>
      </c>
      <c r="B48" s="18">
        <f>SUMIF(Retail_Dataset!C:C,"Australia",Retail_Dataset!K:K)</f>
        <v>933557.77</v>
      </c>
      <c r="C48">
        <f>COUNTIF(Retail_Dataset!C:C,"Australia")</f>
        <v>73</v>
      </c>
      <c r="D48" s="4">
        <f>B48/$B$11</f>
        <v>0.18013599605546071</v>
      </c>
    </row>
    <row r="49" spans="1:4" x14ac:dyDescent="0.35">
      <c r="A49" t="s">
        <v>26</v>
      </c>
      <c r="B49" s="18">
        <f>SUMIF(Retail_Dataset!C:C,"USA",Retail_Dataset!K:K)</f>
        <v>870331.42999999982</v>
      </c>
      <c r="C49">
        <f>COUNTIF(Retail_Dataset!C:C,"USA")</f>
        <v>69</v>
      </c>
      <c r="D49" s="4">
        <f>B49/$B$11</f>
        <v>0.1679360657470865</v>
      </c>
    </row>
    <row r="50" spans="1:4" x14ac:dyDescent="0.35">
      <c r="A50" t="s">
        <v>12</v>
      </c>
      <c r="B50" s="18">
        <f>SUMIF(Retail_Dataset!C:C,"Germany",Retail_Dataset!K:K)</f>
        <v>623555.76000000013</v>
      </c>
      <c r="C50">
        <f>COUNTIF(Retail_Dataset!C:C,"Germany")</f>
        <v>73</v>
      </c>
      <c r="D50" s="4">
        <f>B50/$B$11</f>
        <v>0.12031910775454188</v>
      </c>
    </row>
    <row r="53" spans="1:4" ht="18.5" x14ac:dyDescent="0.45">
      <c r="A53" s="28" t="s">
        <v>460</v>
      </c>
    </row>
    <row r="55" spans="1:4" x14ac:dyDescent="0.35">
      <c r="A55" s="45" t="s">
        <v>429</v>
      </c>
      <c r="B55" s="45" t="s">
        <v>419</v>
      </c>
      <c r="C55" s="45" t="s">
        <v>423</v>
      </c>
      <c r="D55" s="45" t="s">
        <v>454</v>
      </c>
    </row>
    <row r="56" spans="1:4" x14ac:dyDescent="0.35">
      <c r="A56" t="s">
        <v>15</v>
      </c>
      <c r="B56" s="18">
        <f>SUMIF(Retail_Dataset!F:F,"High",Retail_Dataset!K:K)</f>
        <v>1030928.1199999995</v>
      </c>
      <c r="C56">
        <f>COUNTIF(Retail_Dataset!F:F,"High")</f>
        <v>86</v>
      </c>
      <c r="D56" s="4">
        <f>B56/$B$11</f>
        <v>0.19892423342776469</v>
      </c>
    </row>
    <row r="57" spans="1:4" x14ac:dyDescent="0.35">
      <c r="A57" t="s">
        <v>28</v>
      </c>
      <c r="B57" s="18">
        <f>SUMIF(Retail_Dataset!F:F,"Medium",Retail_Dataset!K:K)</f>
        <v>1637928.1500000001</v>
      </c>
      <c r="C57">
        <f>COUNTIF(Retail_Dataset!F:F,"Medium")</f>
        <v>86</v>
      </c>
      <c r="D57" s="4">
        <f>B57/$B$11</f>
        <v>0.31604880624316167</v>
      </c>
    </row>
    <row r="58" spans="1:4" x14ac:dyDescent="0.35">
      <c r="A58" t="s">
        <v>20</v>
      </c>
      <c r="B58" s="18">
        <f>SUMIF(Retail_Dataset!F:F,"Low",Retail_Dataset!K:K)</f>
        <v>1240748.0799999998</v>
      </c>
      <c r="C58">
        <f>COUNTIF(Retail_Dataset!F:F,"Low")</f>
        <v>81</v>
      </c>
      <c r="D58" s="4">
        <f>B58/$B$11</f>
        <v>0.23941034869722141</v>
      </c>
    </row>
    <row r="61" spans="1:4" ht="18.5" x14ac:dyDescent="0.45">
      <c r="A61" s="28" t="s">
        <v>461</v>
      </c>
    </row>
    <row r="63" spans="1:4" x14ac:dyDescent="0.35">
      <c r="A63" s="45" t="s">
        <v>462</v>
      </c>
      <c r="B63" s="45" t="s">
        <v>381</v>
      </c>
      <c r="C63" s="45" t="s">
        <v>382</v>
      </c>
      <c r="D63" s="45" t="s">
        <v>463</v>
      </c>
    </row>
    <row r="64" spans="1:4" x14ac:dyDescent="0.35">
      <c r="A64" t="s">
        <v>1</v>
      </c>
      <c r="B64">
        <f>COUNTBLANK(Retail_Dataset!B2:B351)</f>
        <v>10</v>
      </c>
      <c r="C64" s="4">
        <f>B64/350</f>
        <v>2.8571428571428571E-2</v>
      </c>
      <c r="D64" t="str">
        <f>IF(B64=0,"✅ Complete","⚠️ Missing Data")</f>
        <v>⚠️ Missing Data</v>
      </c>
    </row>
    <row r="65" spans="1:4" x14ac:dyDescent="0.35">
      <c r="A65" t="s">
        <v>3</v>
      </c>
      <c r="B65">
        <f>COUNTBLANK(Retail_Dataset!D2:D351)</f>
        <v>10</v>
      </c>
      <c r="C65" s="4">
        <f>B65/350</f>
        <v>2.8571428571428571E-2</v>
      </c>
      <c r="D65" t="str">
        <f>IF(B65=0,"✅ Complete","⚠️ Missing Data")</f>
        <v>⚠️ Missing Data</v>
      </c>
    </row>
    <row r="66" spans="1:4" x14ac:dyDescent="0.35">
      <c r="A66" t="s">
        <v>7</v>
      </c>
      <c r="B66">
        <f>COUNTBLANK(Retail_Dataset!H2:H351)</f>
        <v>10</v>
      </c>
      <c r="C66" s="4">
        <f>B66/350</f>
        <v>2.8571428571428571E-2</v>
      </c>
      <c r="D66" t="str">
        <f>IF(B66=0,"✅ Complete","⚠️ Missing Data")</f>
        <v>⚠️ Missing Data</v>
      </c>
    </row>
    <row r="67" spans="1:4" x14ac:dyDescent="0.35">
      <c r="A67" t="s">
        <v>8</v>
      </c>
      <c r="B67">
        <f>COUNTBLANK(Retail_Dataset!I2:I351)</f>
        <v>10</v>
      </c>
      <c r="C67" s="4">
        <f>B67/350</f>
        <v>2.8571428571428571E-2</v>
      </c>
      <c r="D67" t="str">
        <f>IF(B67=0,"✅ Complete","⚠️ Missing Data")</f>
        <v>⚠️ Missing Data</v>
      </c>
    </row>
    <row r="68" spans="1:4" x14ac:dyDescent="0.35">
      <c r="A68" s="12" t="s">
        <v>464</v>
      </c>
      <c r="B68" s="12">
        <f>SUM(B64:B67)</f>
        <v>40</v>
      </c>
      <c r="C68" s="47">
        <f>B68/(350*4)</f>
        <v>2.8571428571428571E-2</v>
      </c>
    </row>
    <row r="71" spans="1:4" ht="18.5" x14ac:dyDescent="0.45">
      <c r="A71" s="28" t="s">
        <v>465</v>
      </c>
    </row>
    <row r="73" spans="1:4" x14ac:dyDescent="0.35">
      <c r="A73" s="12" t="s">
        <v>466</v>
      </c>
    </row>
    <row r="74" spans="1:4" x14ac:dyDescent="0.35">
      <c r="A74" t="s">
        <v>467</v>
      </c>
    </row>
    <row r="75" spans="1:4" x14ac:dyDescent="0.35">
      <c r="A75" t="s">
        <v>468</v>
      </c>
    </row>
    <row r="76" spans="1:4" x14ac:dyDescent="0.35">
      <c r="A76" t="s">
        <v>469</v>
      </c>
    </row>
    <row r="77" spans="1:4" x14ac:dyDescent="0.35">
      <c r="A77" t="s">
        <v>470</v>
      </c>
    </row>
    <row r="79" spans="1:4" x14ac:dyDescent="0.35">
      <c r="A79" s="12" t="s">
        <v>471</v>
      </c>
    </row>
    <row r="80" spans="1:4" x14ac:dyDescent="0.35">
      <c r="A80" t="s">
        <v>472</v>
      </c>
    </row>
    <row r="81" spans="1:10" x14ac:dyDescent="0.35">
      <c r="A81" t="s">
        <v>473</v>
      </c>
    </row>
    <row r="82" spans="1:10" x14ac:dyDescent="0.35">
      <c r="A82" t="s">
        <v>474</v>
      </c>
    </row>
    <row r="84" spans="1:10" x14ac:dyDescent="0.35">
      <c r="A84" s="12" t="s">
        <v>475</v>
      </c>
    </row>
    <row r="85" spans="1:10" x14ac:dyDescent="0.35">
      <c r="A85" t="s">
        <v>476</v>
      </c>
    </row>
    <row r="86" spans="1:10" x14ac:dyDescent="0.35">
      <c r="A86" t="s">
        <v>477</v>
      </c>
    </row>
    <row r="87" spans="1:10" x14ac:dyDescent="0.35">
      <c r="A87" t="s">
        <v>478</v>
      </c>
    </row>
    <row r="90" spans="1:10" x14ac:dyDescent="0.35">
      <c r="A90" s="58" t="s">
        <v>479</v>
      </c>
      <c r="B90" s="55"/>
      <c r="C90" s="55"/>
      <c r="D90" s="55"/>
      <c r="E90" s="55"/>
      <c r="F90" s="55"/>
      <c r="G90" s="55"/>
      <c r="H90" s="55"/>
      <c r="I90" s="55"/>
      <c r="J90" s="55"/>
    </row>
  </sheetData>
  <mergeCells count="4">
    <mergeCell ref="A1:J1"/>
    <mergeCell ref="A2:J2"/>
    <mergeCell ref="A3:J3"/>
    <mergeCell ref="A90:J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Retail_Dataset</vt:lpstr>
      <vt:lpstr>Q7_PivotTable</vt:lpstr>
      <vt:lpstr>Q8_Dashboard</vt:lpstr>
      <vt:lpstr>Q9_Summary_Report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ISLAM</dc:creator>
  <cp:lastModifiedBy>MD ISLAM</cp:lastModifiedBy>
  <dcterms:created xsi:type="dcterms:W3CDTF">2026-04-16T20:25:33Z</dcterms:created>
  <dcterms:modified xsi:type="dcterms:W3CDTF">2026-05-19T11:52:51Z</dcterms:modified>
</cp:coreProperties>
</file>